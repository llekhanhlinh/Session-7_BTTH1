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hhoan\Downloads\"/>
    </mc:Choice>
  </mc:AlternateContent>
  <xr:revisionPtr revIDLastSave="0" documentId="13_ncr:1_{31D07B87-3BEC-403D-8B3F-C49D50819DA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Sheet1!$A$1:$L$136</definedName>
  </definedNames>
  <calcPr calcId="191029"/>
</workbook>
</file>

<file path=xl/calcChain.xml><?xml version="1.0" encoding="utf-8"?>
<calcChain xmlns="http://schemas.openxmlformats.org/spreadsheetml/2006/main">
  <c r="K2" i="1" l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J10" i="1"/>
  <c r="J18" i="1"/>
  <c r="J26" i="1"/>
  <c r="J34" i="1"/>
  <c r="J42" i="1"/>
  <c r="J50" i="1"/>
  <c r="J58" i="1"/>
  <c r="J66" i="1"/>
  <c r="J74" i="1"/>
  <c r="J82" i="1"/>
  <c r="J90" i="1"/>
  <c r="J98" i="1"/>
  <c r="J106" i="1"/>
  <c r="J114" i="1"/>
  <c r="J122" i="1"/>
  <c r="J130" i="1"/>
  <c r="I3" i="1"/>
  <c r="J3" i="1" s="1"/>
  <c r="I4" i="1"/>
  <c r="J4" i="1" s="1"/>
  <c r="I5" i="1"/>
  <c r="J5" i="1" s="1"/>
  <c r="I6" i="1"/>
  <c r="J6" i="1" s="1"/>
  <c r="I7" i="1"/>
  <c r="I8" i="1"/>
  <c r="J8" i="1" s="1"/>
  <c r="I9" i="1"/>
  <c r="J9" i="1" s="1"/>
  <c r="I10" i="1"/>
  <c r="I11" i="1"/>
  <c r="J11" i="1" s="1"/>
  <c r="I12" i="1"/>
  <c r="J12" i="1" s="1"/>
  <c r="I13" i="1"/>
  <c r="J13" i="1" s="1"/>
  <c r="I14" i="1"/>
  <c r="J14" i="1" s="1"/>
  <c r="I15" i="1"/>
  <c r="I16" i="1"/>
  <c r="J16" i="1" s="1"/>
  <c r="I17" i="1"/>
  <c r="J17" i="1" s="1"/>
  <c r="I18" i="1"/>
  <c r="I19" i="1"/>
  <c r="J19" i="1" s="1"/>
  <c r="I20" i="1"/>
  <c r="J20" i="1" s="1"/>
  <c r="I21" i="1"/>
  <c r="J21" i="1" s="1"/>
  <c r="I22" i="1"/>
  <c r="J22" i="1" s="1"/>
  <c r="I23" i="1"/>
  <c r="I24" i="1"/>
  <c r="J24" i="1" s="1"/>
  <c r="I25" i="1"/>
  <c r="J25" i="1" s="1"/>
  <c r="I26" i="1"/>
  <c r="I27" i="1"/>
  <c r="J27" i="1" s="1"/>
  <c r="I28" i="1"/>
  <c r="J28" i="1" s="1"/>
  <c r="I29" i="1"/>
  <c r="J29" i="1" s="1"/>
  <c r="I30" i="1"/>
  <c r="J30" i="1" s="1"/>
  <c r="I31" i="1"/>
  <c r="I32" i="1"/>
  <c r="J32" i="1" s="1"/>
  <c r="I33" i="1"/>
  <c r="J33" i="1" s="1"/>
  <c r="I34" i="1"/>
  <c r="I35" i="1"/>
  <c r="J35" i="1" s="1"/>
  <c r="I36" i="1"/>
  <c r="J36" i="1" s="1"/>
  <c r="I37" i="1"/>
  <c r="J37" i="1" s="1"/>
  <c r="I38" i="1"/>
  <c r="J38" i="1" s="1"/>
  <c r="I39" i="1"/>
  <c r="I40" i="1"/>
  <c r="J40" i="1" s="1"/>
  <c r="I41" i="1"/>
  <c r="J41" i="1" s="1"/>
  <c r="I42" i="1"/>
  <c r="I43" i="1"/>
  <c r="J43" i="1" s="1"/>
  <c r="I44" i="1"/>
  <c r="J44" i="1" s="1"/>
  <c r="I45" i="1"/>
  <c r="J45" i="1" s="1"/>
  <c r="I46" i="1"/>
  <c r="J46" i="1" s="1"/>
  <c r="I47" i="1"/>
  <c r="I48" i="1"/>
  <c r="J48" i="1" s="1"/>
  <c r="I49" i="1"/>
  <c r="J49" i="1" s="1"/>
  <c r="I50" i="1"/>
  <c r="I51" i="1"/>
  <c r="J51" i="1" s="1"/>
  <c r="I52" i="1"/>
  <c r="J52" i="1" s="1"/>
  <c r="I53" i="1"/>
  <c r="J53" i="1" s="1"/>
  <c r="I54" i="1"/>
  <c r="J54" i="1" s="1"/>
  <c r="I55" i="1"/>
  <c r="I56" i="1"/>
  <c r="J56" i="1" s="1"/>
  <c r="I57" i="1"/>
  <c r="J57" i="1" s="1"/>
  <c r="I58" i="1"/>
  <c r="I59" i="1"/>
  <c r="J59" i="1" s="1"/>
  <c r="I60" i="1"/>
  <c r="J60" i="1" s="1"/>
  <c r="I61" i="1"/>
  <c r="J61" i="1" s="1"/>
  <c r="I62" i="1"/>
  <c r="J62" i="1" s="1"/>
  <c r="I63" i="1"/>
  <c r="I64" i="1"/>
  <c r="J64" i="1" s="1"/>
  <c r="I65" i="1"/>
  <c r="J65" i="1" s="1"/>
  <c r="I66" i="1"/>
  <c r="I67" i="1"/>
  <c r="J67" i="1" s="1"/>
  <c r="I68" i="1"/>
  <c r="J68" i="1" s="1"/>
  <c r="I69" i="1"/>
  <c r="J69" i="1" s="1"/>
  <c r="I70" i="1"/>
  <c r="J70" i="1" s="1"/>
  <c r="I71" i="1"/>
  <c r="I72" i="1"/>
  <c r="J72" i="1" s="1"/>
  <c r="I73" i="1"/>
  <c r="J73" i="1" s="1"/>
  <c r="I74" i="1"/>
  <c r="I75" i="1"/>
  <c r="J75" i="1" s="1"/>
  <c r="I76" i="1"/>
  <c r="J76" i="1" s="1"/>
  <c r="I77" i="1"/>
  <c r="J77" i="1" s="1"/>
  <c r="I78" i="1"/>
  <c r="J78" i="1" s="1"/>
  <c r="I79" i="1"/>
  <c r="I80" i="1"/>
  <c r="J80" i="1" s="1"/>
  <c r="I81" i="1"/>
  <c r="J81" i="1" s="1"/>
  <c r="I82" i="1"/>
  <c r="I83" i="1"/>
  <c r="J83" i="1" s="1"/>
  <c r="I84" i="1"/>
  <c r="J84" i="1" s="1"/>
  <c r="I85" i="1"/>
  <c r="J85" i="1" s="1"/>
  <c r="I86" i="1"/>
  <c r="J86" i="1" s="1"/>
  <c r="I87" i="1"/>
  <c r="I88" i="1"/>
  <c r="J88" i="1" s="1"/>
  <c r="I89" i="1"/>
  <c r="J89" i="1" s="1"/>
  <c r="I90" i="1"/>
  <c r="I91" i="1"/>
  <c r="J91" i="1" s="1"/>
  <c r="I92" i="1"/>
  <c r="J92" i="1" s="1"/>
  <c r="I93" i="1"/>
  <c r="J93" i="1" s="1"/>
  <c r="I94" i="1"/>
  <c r="J94" i="1" s="1"/>
  <c r="I95" i="1"/>
  <c r="I96" i="1"/>
  <c r="J96" i="1" s="1"/>
  <c r="I97" i="1"/>
  <c r="J97" i="1" s="1"/>
  <c r="I98" i="1"/>
  <c r="I99" i="1"/>
  <c r="J99" i="1" s="1"/>
  <c r="I100" i="1"/>
  <c r="J100" i="1" s="1"/>
  <c r="I101" i="1"/>
  <c r="J101" i="1" s="1"/>
  <c r="I102" i="1"/>
  <c r="J102" i="1" s="1"/>
  <c r="I103" i="1"/>
  <c r="I104" i="1"/>
  <c r="J104" i="1" s="1"/>
  <c r="I105" i="1"/>
  <c r="J105" i="1" s="1"/>
  <c r="I106" i="1"/>
  <c r="I107" i="1"/>
  <c r="J107" i="1" s="1"/>
  <c r="I108" i="1"/>
  <c r="J108" i="1" s="1"/>
  <c r="I109" i="1"/>
  <c r="J109" i="1" s="1"/>
  <c r="I110" i="1"/>
  <c r="J110" i="1" s="1"/>
  <c r="I111" i="1"/>
  <c r="I112" i="1"/>
  <c r="J112" i="1" s="1"/>
  <c r="I113" i="1"/>
  <c r="J113" i="1" s="1"/>
  <c r="I114" i="1"/>
  <c r="I115" i="1"/>
  <c r="J115" i="1" s="1"/>
  <c r="I116" i="1"/>
  <c r="J116" i="1" s="1"/>
  <c r="I117" i="1"/>
  <c r="J117" i="1" s="1"/>
  <c r="I118" i="1"/>
  <c r="J118" i="1" s="1"/>
  <c r="I119" i="1"/>
  <c r="I120" i="1"/>
  <c r="J120" i="1" s="1"/>
  <c r="I121" i="1"/>
  <c r="J121" i="1" s="1"/>
  <c r="I122" i="1"/>
  <c r="I123" i="1"/>
  <c r="J123" i="1" s="1"/>
  <c r="I124" i="1"/>
  <c r="J124" i="1" s="1"/>
  <c r="I125" i="1"/>
  <c r="J125" i="1" s="1"/>
  <c r="I126" i="1"/>
  <c r="J126" i="1" s="1"/>
  <c r="I127" i="1"/>
  <c r="I128" i="1"/>
  <c r="J128" i="1" s="1"/>
  <c r="I129" i="1"/>
  <c r="J129" i="1" s="1"/>
  <c r="I130" i="1"/>
  <c r="I131" i="1"/>
  <c r="J131" i="1" s="1"/>
  <c r="I132" i="1"/>
  <c r="J132" i="1" s="1"/>
  <c r="I133" i="1"/>
  <c r="J133" i="1" s="1"/>
  <c r="I134" i="1"/>
  <c r="J134" i="1" s="1"/>
  <c r="I135" i="1"/>
  <c r="I136" i="1"/>
  <c r="J136" i="1" s="1"/>
  <c r="I2" i="1"/>
  <c r="J2" i="1" s="1"/>
  <c r="H3" i="1"/>
  <c r="H4" i="1"/>
  <c r="H5" i="1"/>
  <c r="H6" i="1"/>
  <c r="H7" i="1"/>
  <c r="J7" i="1" s="1"/>
  <c r="H8" i="1"/>
  <c r="H9" i="1"/>
  <c r="H10" i="1"/>
  <c r="H11" i="1"/>
  <c r="H12" i="1"/>
  <c r="H13" i="1"/>
  <c r="H14" i="1"/>
  <c r="H15" i="1"/>
  <c r="J15" i="1" s="1"/>
  <c r="H16" i="1"/>
  <c r="H17" i="1"/>
  <c r="H18" i="1"/>
  <c r="H19" i="1"/>
  <c r="H20" i="1"/>
  <c r="H21" i="1"/>
  <c r="H22" i="1"/>
  <c r="H23" i="1"/>
  <c r="J23" i="1" s="1"/>
  <c r="H24" i="1"/>
  <c r="H25" i="1"/>
  <c r="H26" i="1"/>
  <c r="H27" i="1"/>
  <c r="H28" i="1"/>
  <c r="H29" i="1"/>
  <c r="H30" i="1"/>
  <c r="H31" i="1"/>
  <c r="J31" i="1" s="1"/>
  <c r="H32" i="1"/>
  <c r="H33" i="1"/>
  <c r="H34" i="1"/>
  <c r="H35" i="1"/>
  <c r="H36" i="1"/>
  <c r="H37" i="1"/>
  <c r="H38" i="1"/>
  <c r="H39" i="1"/>
  <c r="J39" i="1" s="1"/>
  <c r="H40" i="1"/>
  <c r="H41" i="1"/>
  <c r="H42" i="1"/>
  <c r="H43" i="1"/>
  <c r="H44" i="1"/>
  <c r="H45" i="1"/>
  <c r="H46" i="1"/>
  <c r="H47" i="1"/>
  <c r="J47" i="1" s="1"/>
  <c r="H48" i="1"/>
  <c r="H49" i="1"/>
  <c r="H50" i="1"/>
  <c r="H51" i="1"/>
  <c r="H52" i="1"/>
  <c r="H53" i="1"/>
  <c r="H54" i="1"/>
  <c r="H55" i="1"/>
  <c r="J55" i="1" s="1"/>
  <c r="H56" i="1"/>
  <c r="H57" i="1"/>
  <c r="H58" i="1"/>
  <c r="H59" i="1"/>
  <c r="H60" i="1"/>
  <c r="H61" i="1"/>
  <c r="H62" i="1"/>
  <c r="H63" i="1"/>
  <c r="J63" i="1" s="1"/>
  <c r="H64" i="1"/>
  <c r="H65" i="1"/>
  <c r="H66" i="1"/>
  <c r="H67" i="1"/>
  <c r="H68" i="1"/>
  <c r="H69" i="1"/>
  <c r="H70" i="1"/>
  <c r="H71" i="1"/>
  <c r="J71" i="1" s="1"/>
  <c r="H72" i="1"/>
  <c r="H73" i="1"/>
  <c r="H74" i="1"/>
  <c r="H75" i="1"/>
  <c r="H76" i="1"/>
  <c r="H77" i="1"/>
  <c r="H78" i="1"/>
  <c r="H79" i="1"/>
  <c r="J79" i="1" s="1"/>
  <c r="H80" i="1"/>
  <c r="H81" i="1"/>
  <c r="H82" i="1"/>
  <c r="H83" i="1"/>
  <c r="H84" i="1"/>
  <c r="H85" i="1"/>
  <c r="H86" i="1"/>
  <c r="H87" i="1"/>
  <c r="J87" i="1" s="1"/>
  <c r="H88" i="1"/>
  <c r="H89" i="1"/>
  <c r="H90" i="1"/>
  <c r="H91" i="1"/>
  <c r="H92" i="1"/>
  <c r="H93" i="1"/>
  <c r="H94" i="1"/>
  <c r="H95" i="1"/>
  <c r="J95" i="1" s="1"/>
  <c r="H96" i="1"/>
  <c r="H97" i="1"/>
  <c r="H98" i="1"/>
  <c r="H99" i="1"/>
  <c r="H100" i="1"/>
  <c r="H101" i="1"/>
  <c r="H102" i="1"/>
  <c r="H103" i="1"/>
  <c r="J103" i="1" s="1"/>
  <c r="H104" i="1"/>
  <c r="H105" i="1"/>
  <c r="H106" i="1"/>
  <c r="H107" i="1"/>
  <c r="H108" i="1"/>
  <c r="H109" i="1"/>
  <c r="H110" i="1"/>
  <c r="H111" i="1"/>
  <c r="J111" i="1" s="1"/>
  <c r="H112" i="1"/>
  <c r="H113" i="1"/>
  <c r="H114" i="1"/>
  <c r="H115" i="1"/>
  <c r="H116" i="1"/>
  <c r="H117" i="1"/>
  <c r="H118" i="1"/>
  <c r="H119" i="1"/>
  <c r="J119" i="1" s="1"/>
  <c r="H120" i="1"/>
  <c r="H121" i="1"/>
  <c r="H122" i="1"/>
  <c r="H123" i="1"/>
  <c r="H124" i="1"/>
  <c r="H125" i="1"/>
  <c r="H126" i="1"/>
  <c r="H127" i="1"/>
  <c r="J127" i="1" s="1"/>
  <c r="H128" i="1"/>
  <c r="H129" i="1"/>
  <c r="H130" i="1"/>
  <c r="H131" i="1"/>
  <c r="H132" i="1"/>
  <c r="H133" i="1"/>
  <c r="H134" i="1"/>
  <c r="H135" i="1"/>
  <c r="J135" i="1" s="1"/>
  <c r="H136" i="1"/>
  <c r="H2" i="1"/>
  <c r="M136" i="1"/>
  <c r="M135" i="1"/>
  <c r="M134" i="1"/>
  <c r="M133" i="1"/>
  <c r="M132" i="1"/>
  <c r="M131" i="1"/>
  <c r="M130" i="1"/>
  <c r="M129" i="1"/>
  <c r="M128" i="1"/>
  <c r="M127" i="1"/>
  <c r="M126" i="1"/>
  <c r="M125" i="1"/>
  <c r="M124" i="1"/>
  <c r="M123" i="1"/>
  <c r="M122" i="1"/>
  <c r="M121" i="1"/>
  <c r="M120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</calcChain>
</file>

<file path=xl/sharedStrings.xml><?xml version="1.0" encoding="utf-8"?>
<sst xmlns="http://schemas.openxmlformats.org/spreadsheetml/2006/main" count="617" uniqueCount="227">
  <si>
    <t>Mã đơn hàng</t>
  </si>
  <si>
    <t>Ngày bán</t>
  </si>
  <si>
    <t>Nhân viên bán hàng</t>
  </si>
  <si>
    <t>Khu vực</t>
  </si>
  <si>
    <t>Tên sản phẩm</t>
  </si>
  <si>
    <t>Số lượng</t>
  </si>
  <si>
    <t>Đơn giá</t>
  </si>
  <si>
    <t>Ghi chú</t>
  </si>
  <si>
    <t>ORD-230101</t>
  </si>
  <si>
    <t>Nguyễn Văn An</t>
  </si>
  <si>
    <t>Miền Bắc</t>
  </si>
  <si>
    <t>Giao hàng nhanh</t>
  </si>
  <si>
    <t>ORD-230102</t>
  </si>
  <si>
    <t>Trần Thị Bình</t>
  </si>
  <si>
    <t>Miền Nam</t>
  </si>
  <si>
    <t>ORD-230103</t>
  </si>
  <si>
    <t>Lê Hoàng Nam</t>
  </si>
  <si>
    <t>Miền Trung</t>
  </si>
  <si>
    <t>Khách hàng cũ</t>
  </si>
  <si>
    <t>ORD-230104</t>
  </si>
  <si>
    <t>Phạm Quang Dũng</t>
  </si>
  <si>
    <t>ORD-230105</t>
  </si>
  <si>
    <t>Hoàng Thị Mai</t>
  </si>
  <si>
    <t>Cần xuất hóa đơn</t>
  </si>
  <si>
    <t>ORD-230106</t>
  </si>
  <si>
    <t>ORD-230107</t>
  </si>
  <si>
    <t>ORD-230108</t>
  </si>
  <si>
    <t>ORD-230109</t>
  </si>
  <si>
    <t>ORD-230110</t>
  </si>
  <si>
    <t>ORD-230111</t>
  </si>
  <si>
    <t>Khách hàng VIP</t>
  </si>
  <si>
    <t>ORD-230112</t>
  </si>
  <si>
    <t>ORD-230113</t>
  </si>
  <si>
    <t>ORD-230114</t>
  </si>
  <si>
    <t>ORD-230115</t>
  </si>
  <si>
    <t>Giao trễ hẹn</t>
  </si>
  <si>
    <t>ORD-230116</t>
  </si>
  <si>
    <t>1/13/2023</t>
  </si>
  <si>
    <t>ORD-230117</t>
  </si>
  <si>
    <t>1/14/2023</t>
  </si>
  <si>
    <t>ORD-230118</t>
  </si>
  <si>
    <t>1/15/2023</t>
  </si>
  <si>
    <t>ORD-230119</t>
  </si>
  <si>
    <t>ORD-230120</t>
  </si>
  <si>
    <t>1/16/2023</t>
  </si>
  <si>
    <t>ORD-230121</t>
  </si>
  <si>
    <t>1/17/2023</t>
  </si>
  <si>
    <t>ORD-230122</t>
  </si>
  <si>
    <t>1/18/2023</t>
  </si>
  <si>
    <t>Bảo hành 3 năm</t>
  </si>
  <si>
    <t>ORD-230123</t>
  </si>
  <si>
    <t>ORD-230124</t>
  </si>
  <si>
    <t>1/19/2023</t>
  </si>
  <si>
    <t>ORD-230125</t>
  </si>
  <si>
    <t>1/20/2023</t>
  </si>
  <si>
    <t>ORD-230126</t>
  </si>
  <si>
    <t>1/21/2023</t>
  </si>
  <si>
    <t>ORD-230127</t>
  </si>
  <si>
    <t>1/22/2023</t>
  </si>
  <si>
    <t>ORD-230128</t>
  </si>
  <si>
    <t>1/23/2023</t>
  </si>
  <si>
    <t>ORD-230129</t>
  </si>
  <si>
    <t>ORD-230130</t>
  </si>
  <si>
    <t>1/24/2023</t>
  </si>
  <si>
    <t>ORD-230201</t>
  </si>
  <si>
    <t>Webcam Logitech C922</t>
  </si>
  <si>
    <t>ORD-230202</t>
  </si>
  <si>
    <t>ORD-230203</t>
  </si>
  <si>
    <t>ORD-230204</t>
  </si>
  <si>
    <t>ORD-230205</t>
  </si>
  <si>
    <t>ORD-230206</t>
  </si>
  <si>
    <t>ORD-230207</t>
  </si>
  <si>
    <t>ORD-230208</t>
  </si>
  <si>
    <t>ORD-230209</t>
  </si>
  <si>
    <t>ORD-230210</t>
  </si>
  <si>
    <t>ORD-230211</t>
  </si>
  <si>
    <t>ORD-230212</t>
  </si>
  <si>
    <t>ORD-230213</t>
  </si>
  <si>
    <t>ORD-230216</t>
  </si>
  <si>
    <t>ORD-230217</t>
  </si>
  <si>
    <t>2/13/2023</t>
  </si>
  <si>
    <t>ORD-230218</t>
  </si>
  <si>
    <t>2/14/2023</t>
  </si>
  <si>
    <t>ORD-230219</t>
  </si>
  <si>
    <t>2/15/2023</t>
  </si>
  <si>
    <t>ORD-230220</t>
  </si>
  <si>
    <t>ORD-230221</t>
  </si>
  <si>
    <t>2/16/2023</t>
  </si>
  <si>
    <t>ORD-230222</t>
  </si>
  <si>
    <t>2/17/2023</t>
  </si>
  <si>
    <t>ORD-230223</t>
  </si>
  <si>
    <t>2/18/2023</t>
  </si>
  <si>
    <t>ORD-230224</t>
  </si>
  <si>
    <t>ORD-230225</t>
  </si>
  <si>
    <t>2/19/2023</t>
  </si>
  <si>
    <t>ORD-230226</t>
  </si>
  <si>
    <t>2/20/2023</t>
  </si>
  <si>
    <t>ORD-230227</t>
  </si>
  <si>
    <t>2/21/2023</t>
  </si>
  <si>
    <t>ORD-230228</t>
  </si>
  <si>
    <t>2/22/2023</t>
  </si>
  <si>
    <t>ORD-230229</t>
  </si>
  <si>
    <t>2/23/2023</t>
  </si>
  <si>
    <t>ORD-230230</t>
  </si>
  <si>
    <t>ORD-230231</t>
  </si>
  <si>
    <t>2/24/2023</t>
  </si>
  <si>
    <t>ORD-230232</t>
  </si>
  <si>
    <t>2/25/2023</t>
  </si>
  <si>
    <t>ORD-230233</t>
  </si>
  <si>
    <t>2/26/2023</t>
  </si>
  <si>
    <t>ORD-230234</t>
  </si>
  <si>
    <t>2/27/2023</t>
  </si>
  <si>
    <t>ORD-230235</t>
  </si>
  <si>
    <t>2/28/2023</t>
  </si>
  <si>
    <t>ORD-230301</t>
  </si>
  <si>
    <t>ORD-230302</t>
  </si>
  <si>
    <t>ORD-230303</t>
  </si>
  <si>
    <t>ORD-230304</t>
  </si>
  <si>
    <t>ORD-230305</t>
  </si>
  <si>
    <t>ORD-230306</t>
  </si>
  <si>
    <t>ORD-230307</t>
  </si>
  <si>
    <t>ORD-230308</t>
  </si>
  <si>
    <t>ORD-230309</t>
  </si>
  <si>
    <t>ORD-230310</t>
  </si>
  <si>
    <t>ORD-230311</t>
  </si>
  <si>
    <t>ORD-230312</t>
  </si>
  <si>
    <t>ORD-230313</t>
  </si>
  <si>
    <t>ORD-230314</t>
  </si>
  <si>
    <t>ORD-230315</t>
  </si>
  <si>
    <t>ORD-230316</t>
  </si>
  <si>
    <t>ORD-230317</t>
  </si>
  <si>
    <t>3/13/2023</t>
  </si>
  <si>
    <t>ORD-230318</t>
  </si>
  <si>
    <t>3/14/2023</t>
  </si>
  <si>
    <t>ORD-230319</t>
  </si>
  <si>
    <t>3/15/2023</t>
  </si>
  <si>
    <t>ORD-230320</t>
  </si>
  <si>
    <t>ORD-230321</t>
  </si>
  <si>
    <t>3/16/2023</t>
  </si>
  <si>
    <t>ORD-230322</t>
  </si>
  <si>
    <t>3/17/2023</t>
  </si>
  <si>
    <t>ORD-230323</t>
  </si>
  <si>
    <t>3/18/2023</t>
  </si>
  <si>
    <t>ORD-230324</t>
  </si>
  <si>
    <t>ORD-230325</t>
  </si>
  <si>
    <t>3/19/2023</t>
  </si>
  <si>
    <t>ORD-230326</t>
  </si>
  <si>
    <t>3/20/2023</t>
  </si>
  <si>
    <t>ORD-230327</t>
  </si>
  <si>
    <t>3/21/2023</t>
  </si>
  <si>
    <t>ORD-230328</t>
  </si>
  <si>
    <t>3/22/2023</t>
  </si>
  <si>
    <t>ORD-230329</t>
  </si>
  <si>
    <t>3/23/2023</t>
  </si>
  <si>
    <t>ORD-230330</t>
  </si>
  <si>
    <t>ORD-230331</t>
  </si>
  <si>
    <t>3/24/2023</t>
  </si>
  <si>
    <t>ORD-230401</t>
  </si>
  <si>
    <t>3/24/2024</t>
  </si>
  <si>
    <t>ORD-230402</t>
  </si>
  <si>
    <t>3/24/2025</t>
  </si>
  <si>
    <t>ORD-230403</t>
  </si>
  <si>
    <t>3/24/2026</t>
  </si>
  <si>
    <t>ORD-230404</t>
  </si>
  <si>
    <t>3/24/2027</t>
  </si>
  <si>
    <t>ORD-230405</t>
  </si>
  <si>
    <t>ORD-230406</t>
  </si>
  <si>
    <t>ORD-230407</t>
  </si>
  <si>
    <t>ORD-230408</t>
  </si>
  <si>
    <t>ORD-230409</t>
  </si>
  <si>
    <t>ORD-230410</t>
  </si>
  <si>
    <t>ORD-230411</t>
  </si>
  <si>
    <t>ORD-230412</t>
  </si>
  <si>
    <t>ORD-230413</t>
  </si>
  <si>
    <t>ORD-230414</t>
  </si>
  <si>
    <t>ORD-230415</t>
  </si>
  <si>
    <t>ORD-230416</t>
  </si>
  <si>
    <t>ORD-230417</t>
  </si>
  <si>
    <t>4/13/2023</t>
  </si>
  <si>
    <t>ORD-230418</t>
  </si>
  <si>
    <t>4/14/2023</t>
  </si>
  <si>
    <t>ORD-230419</t>
  </si>
  <si>
    <t>4/15/2023</t>
  </si>
  <si>
    <t>ORD-230420</t>
  </si>
  <si>
    <t>ORD-230421</t>
  </si>
  <si>
    <t>4/16/2023</t>
  </si>
  <si>
    <t>ORD-230422</t>
  </si>
  <si>
    <t>4/17/2023</t>
  </si>
  <si>
    <t>ORD-230423</t>
  </si>
  <si>
    <t>4/18/2023</t>
  </si>
  <si>
    <t>ORD-230424</t>
  </si>
  <si>
    <t>ORD-230425</t>
  </si>
  <si>
    <t>4/19/2023</t>
  </si>
  <si>
    <t>ORD-230426</t>
  </si>
  <si>
    <t>4/20/2023</t>
  </si>
  <si>
    <t>ORD-230427</t>
  </si>
  <si>
    <t>4/21/2023</t>
  </si>
  <si>
    <t>ORD-230428</t>
  </si>
  <si>
    <t>4/22/2023</t>
  </si>
  <si>
    <t>ORD-230429</t>
  </si>
  <si>
    <t>4/23/2023</t>
  </si>
  <si>
    <t>ORD-230430</t>
  </si>
  <si>
    <t>ORD-230431</t>
  </si>
  <si>
    <t>4/24/2023</t>
  </si>
  <si>
    <t>ORD-230432</t>
  </si>
  <si>
    <t>4/25/2023</t>
  </si>
  <si>
    <t>ORD-230433</t>
  </si>
  <si>
    <t>4/26/2023</t>
  </si>
  <si>
    <t>ORD-230434</t>
  </si>
  <si>
    <t>4/27/2023</t>
  </si>
  <si>
    <t>ORD-230435</t>
  </si>
  <si>
    <t>4/28/2023</t>
  </si>
  <si>
    <t>ORD-230436</t>
  </si>
  <si>
    <t>4/29/2023</t>
  </si>
  <si>
    <t>ORD-230437</t>
  </si>
  <si>
    <t>4/30/2023</t>
  </si>
  <si>
    <t>Laptop Dell Xps 13</t>
  </si>
  <si>
    <t>Chuột Logitech Mx Master</t>
  </si>
  <si>
    <t>Bàn Phím Cơ Keychron</t>
  </si>
  <si>
    <t>Màn Hình Lg 27 Inch</t>
  </si>
  <si>
    <t>Ổ Cứng Ssd Samsung 1Tb</t>
  </si>
  <si>
    <t>Tai Nghe Sony Wh-1000Xm5</t>
  </si>
  <si>
    <t>Bàn Di Chuột Steelseries</t>
  </si>
  <si>
    <t>Giá vốn</t>
  </si>
  <si>
    <t>Doanh thu</t>
  </si>
  <si>
    <t>Lợi nhuận</t>
  </si>
  <si>
    <t>Tỷ suất lợi nhuận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</si>
</sst>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Aptos Narrow"/>
      <scheme val="minor"/>
    </font>
    <font>
      <b/>
      <sz val="13"/>
      <color rgb="FF1A1C1E"/>
      <name val="Arial"/>
    </font>
    <font>
      <b/>
      <sz val="12"/>
      <color theme="1"/>
      <name val="Arial"/>
    </font>
    <font>
      <sz val="12"/>
      <color theme="1"/>
      <name val="Arial"/>
    </font>
    <font>
      <sz val="12"/>
      <color theme="1"/>
      <name val="Aptos Narrow"/>
    </font>
    <font>
      <sz val="13"/>
      <color rgb="FF1A1C1E"/>
      <name val="Arial"/>
    </font>
    <font>
      <sz val="13"/>
      <color theme="1"/>
      <name val="Aptos Narrow"/>
    </font>
    <font>
      <sz val="12"/>
      <color rgb="FF000000"/>
      <name val="Robot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wrapText="1"/>
    </xf>
    <xf numFmtId="0" fontId="3" fillId="0" borderId="0" xfId="0" applyFont="1" applyAlignment="1">
      <alignment horizontal="center" wrapText="1"/>
    </xf>
    <xf numFmtId="0" fontId="4" fillId="0" borderId="0" xfId="0" applyFont="1" applyAlignment="1">
      <alignment horizontal="center" wrapText="1"/>
    </xf>
    <xf numFmtId="0" fontId="5" fillId="0" borderId="0" xfId="0" applyFont="1" applyAlignment="1">
      <alignment vertical="center" wrapText="1"/>
    </xf>
    <xf numFmtId="14" fontId="5" fillId="0" borderId="0" xfId="0" applyNumberFormat="1" applyFont="1" applyAlignment="1">
      <alignment vertical="center" wrapText="1"/>
    </xf>
    <xf numFmtId="0" fontId="4" fillId="0" borderId="0" xfId="0" applyFont="1" applyAlignment="1">
      <alignment wrapText="1"/>
    </xf>
    <xf numFmtId="0" fontId="6" fillId="0" borderId="0" xfId="0" applyFont="1" applyAlignment="1">
      <alignment vertical="center" wrapText="1"/>
    </xf>
    <xf numFmtId="0" fontId="7" fillId="0" borderId="0" xfId="0" applyFont="1"/>
    <xf numFmtId="9" fontId="5" fillId="0" borderId="0" xfId="0" applyNumberFormat="1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000"/>
  <sheetViews>
    <sheetView tabSelected="1" topLeftCell="B1" zoomScale="85" workbookViewId="0">
      <selection activeCell="K2" sqref="K2"/>
    </sheetView>
  </sheetViews>
  <sheetFormatPr defaultColWidth="11.19921875" defaultRowHeight="15" customHeight="1" x14ac:dyDescent="0.3"/>
  <cols>
    <col min="1" max="1" width="17.69921875" customWidth="1"/>
    <col min="2" max="2" width="15.3984375" customWidth="1"/>
    <col min="3" max="3" width="29.09765625" customWidth="1"/>
    <col min="4" max="4" width="18.3984375" customWidth="1"/>
    <col min="5" max="5" width="29.59765625" customWidth="1"/>
    <col min="6" max="6" width="14.296875" customWidth="1"/>
    <col min="7" max="8" width="14.09765625" customWidth="1"/>
    <col min="9" max="9" width="16.19921875" bestFit="1" customWidth="1"/>
    <col min="10" max="10" width="16.09765625" bestFit="1" customWidth="1"/>
    <col min="11" max="11" width="16.59765625" bestFit="1" customWidth="1"/>
    <col min="12" max="12" width="26" customWidth="1"/>
    <col min="13" max="13" width="22.69921875" customWidth="1"/>
    <col min="14" max="30" width="10.59765625" customWidth="1"/>
  </cols>
  <sheetData>
    <row r="1" spans="1:30" ht="15.7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223</v>
      </c>
      <c r="I1" s="1" t="s">
        <v>224</v>
      </c>
      <c r="J1" s="1" t="s">
        <v>225</v>
      </c>
      <c r="K1" s="1" t="s">
        <v>226</v>
      </c>
      <c r="L1" s="1" t="s">
        <v>7</v>
      </c>
      <c r="M1" s="2"/>
      <c r="N1" s="3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</row>
    <row r="2" spans="1:30" ht="15.75" customHeight="1" x14ac:dyDescent="0.3">
      <c r="A2" s="5" t="s">
        <v>8</v>
      </c>
      <c r="B2" s="6">
        <v>44958</v>
      </c>
      <c r="C2" s="5" t="s">
        <v>9</v>
      </c>
      <c r="D2" s="5" t="s">
        <v>10</v>
      </c>
      <c r="E2" s="5" t="s">
        <v>216</v>
      </c>
      <c r="F2" s="5"/>
      <c r="G2" s="5">
        <v>25000000</v>
      </c>
      <c r="H2" s="5">
        <f>G2*0.7</f>
        <v>17500000</v>
      </c>
      <c r="I2" s="5">
        <f>F2*G2</f>
        <v>0</v>
      </c>
      <c r="J2" s="5">
        <f>I2-(F2*H2)</f>
        <v>0</v>
      </c>
      <c r="K2" s="10" t="e">
        <f>J2/I2</f>
        <v>#DIV/0!</v>
      </c>
      <c r="L2" s="5" t="s">
        <v>11</v>
      </c>
      <c r="M2" s="7" t="str">
        <f t="shared" ref="M2:M136" si="0">PROPER(C2)</f>
        <v>Nguyễn Văn An</v>
      </c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spans="1:30" ht="15.75" customHeight="1" x14ac:dyDescent="0.3">
      <c r="A3" s="5" t="s">
        <v>12</v>
      </c>
      <c r="B3" s="6">
        <v>44986</v>
      </c>
      <c r="C3" s="5" t="s">
        <v>13</v>
      </c>
      <c r="D3" s="5" t="s">
        <v>14</v>
      </c>
      <c r="E3" s="5" t="s">
        <v>217</v>
      </c>
      <c r="F3" s="5">
        <v>2</v>
      </c>
      <c r="G3" s="5">
        <v>1800000</v>
      </c>
      <c r="H3" s="5">
        <f t="shared" ref="H3:H66" si="1">G3*0.7</f>
        <v>1260000</v>
      </c>
      <c r="I3" s="5">
        <f t="shared" ref="I3:I66" si="2">F3*G3</f>
        <v>3600000</v>
      </c>
      <c r="J3" s="5">
        <f t="shared" ref="J3:J66" si="3">I3-(F3*H3)</f>
        <v>1080000</v>
      </c>
      <c r="K3" s="10">
        <f t="shared" ref="K3:K66" si="4">J3/I3</f>
        <v>0.3</v>
      </c>
      <c r="L3" s="5"/>
      <c r="M3" s="7" t="str">
        <f t="shared" si="0"/>
        <v>Trần Thị Bình</v>
      </c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</row>
    <row r="4" spans="1:30" ht="15.75" customHeight="1" x14ac:dyDescent="0.3">
      <c r="A4" s="5" t="s">
        <v>15</v>
      </c>
      <c r="B4" s="6">
        <v>44986</v>
      </c>
      <c r="C4" s="5" t="s">
        <v>16</v>
      </c>
      <c r="D4" s="5" t="s">
        <v>17</v>
      </c>
      <c r="E4" s="5" t="s">
        <v>218</v>
      </c>
      <c r="F4" s="5">
        <v>1</v>
      </c>
      <c r="G4" s="5">
        <v>2200000</v>
      </c>
      <c r="H4" s="5">
        <f t="shared" si="1"/>
        <v>1540000</v>
      </c>
      <c r="I4" s="5">
        <f t="shared" si="2"/>
        <v>2200000</v>
      </c>
      <c r="J4" s="5">
        <f t="shared" si="3"/>
        <v>660000</v>
      </c>
      <c r="K4" s="10">
        <f t="shared" si="4"/>
        <v>0.3</v>
      </c>
      <c r="L4" s="5" t="s">
        <v>18</v>
      </c>
      <c r="M4" s="7" t="str">
        <f t="shared" si="0"/>
        <v>Lê Hoàng Nam</v>
      </c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</row>
    <row r="5" spans="1:30" ht="15.75" customHeight="1" x14ac:dyDescent="0.3">
      <c r="A5" s="5" t="s">
        <v>19</v>
      </c>
      <c r="B5" s="6">
        <v>45017</v>
      </c>
      <c r="C5" s="5" t="s">
        <v>20</v>
      </c>
      <c r="D5" s="5"/>
      <c r="E5" s="5" t="s">
        <v>219</v>
      </c>
      <c r="F5" s="5"/>
      <c r="G5" s="5">
        <v>6500000</v>
      </c>
      <c r="H5" s="5">
        <f t="shared" si="1"/>
        <v>4550000</v>
      </c>
      <c r="I5" s="5">
        <f t="shared" si="2"/>
        <v>0</v>
      </c>
      <c r="J5" s="5">
        <f t="shared" si="3"/>
        <v>0</v>
      </c>
      <c r="K5" s="10" t="e">
        <f t="shared" si="4"/>
        <v>#DIV/0!</v>
      </c>
      <c r="L5" s="5"/>
      <c r="M5" s="7" t="str">
        <f t="shared" si="0"/>
        <v>Phạm Quang Dũng</v>
      </c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</row>
    <row r="6" spans="1:30" ht="15.75" customHeight="1" x14ac:dyDescent="0.3">
      <c r="A6" s="5" t="s">
        <v>21</v>
      </c>
      <c r="B6" s="6">
        <v>45047</v>
      </c>
      <c r="C6" s="5" t="s">
        <v>22</v>
      </c>
      <c r="D6" s="5" t="s">
        <v>14</v>
      </c>
      <c r="E6" s="5" t="s">
        <v>220</v>
      </c>
      <c r="F6" s="5">
        <v>3</v>
      </c>
      <c r="G6" s="5">
        <v>2500000</v>
      </c>
      <c r="H6" s="5">
        <f t="shared" si="1"/>
        <v>1750000</v>
      </c>
      <c r="I6" s="5">
        <f t="shared" si="2"/>
        <v>7500000</v>
      </c>
      <c r="J6" s="5">
        <f t="shared" si="3"/>
        <v>2250000</v>
      </c>
      <c r="K6" s="10">
        <f t="shared" si="4"/>
        <v>0.3</v>
      </c>
      <c r="L6" s="5" t="s">
        <v>23</v>
      </c>
      <c r="M6" s="7" t="str">
        <f t="shared" si="0"/>
        <v>Hoàng Thị Mai</v>
      </c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</row>
    <row r="7" spans="1:30" ht="15.75" customHeight="1" x14ac:dyDescent="0.3">
      <c r="A7" s="5" t="s">
        <v>24</v>
      </c>
      <c r="B7" s="6">
        <v>45047</v>
      </c>
      <c r="C7" s="5" t="s">
        <v>9</v>
      </c>
      <c r="D7" s="5" t="s">
        <v>10</v>
      </c>
      <c r="E7" s="5" t="s">
        <v>221</v>
      </c>
      <c r="F7" s="5">
        <v>1</v>
      </c>
      <c r="G7" s="5">
        <v>7500000</v>
      </c>
      <c r="H7" s="5">
        <f t="shared" si="1"/>
        <v>5250000</v>
      </c>
      <c r="I7" s="5">
        <f t="shared" si="2"/>
        <v>7500000</v>
      </c>
      <c r="J7" s="5">
        <f t="shared" si="3"/>
        <v>2250000</v>
      </c>
      <c r="K7" s="10">
        <f t="shared" si="4"/>
        <v>0.3</v>
      </c>
      <c r="L7" s="5"/>
      <c r="M7" s="7" t="str">
        <f t="shared" si="0"/>
        <v>Nguyễn Văn An</v>
      </c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</row>
    <row r="8" spans="1:30" ht="15.75" customHeight="1" x14ac:dyDescent="0.3">
      <c r="A8" s="5" t="s">
        <v>25</v>
      </c>
      <c r="B8" s="6">
        <v>45078</v>
      </c>
      <c r="C8" s="5" t="s">
        <v>13</v>
      </c>
      <c r="D8" s="5" t="s">
        <v>14</v>
      </c>
      <c r="E8" s="5" t="s">
        <v>216</v>
      </c>
      <c r="F8" s="5">
        <v>1</v>
      </c>
      <c r="G8" s="5">
        <v>25000000</v>
      </c>
      <c r="H8" s="5">
        <f t="shared" si="1"/>
        <v>17500000</v>
      </c>
      <c r="I8" s="5">
        <f t="shared" si="2"/>
        <v>25000000</v>
      </c>
      <c r="J8" s="5">
        <f t="shared" si="3"/>
        <v>7500000</v>
      </c>
      <c r="K8" s="10">
        <f t="shared" si="4"/>
        <v>0.3</v>
      </c>
      <c r="L8" s="5"/>
      <c r="M8" s="7" t="str">
        <f t="shared" si="0"/>
        <v>Trần Thị Bình</v>
      </c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</row>
    <row r="9" spans="1:30" ht="15.75" customHeight="1" x14ac:dyDescent="0.3">
      <c r="A9" s="5" t="s">
        <v>26</v>
      </c>
      <c r="B9" s="6">
        <v>45108</v>
      </c>
      <c r="C9" s="5" t="s">
        <v>16</v>
      </c>
      <c r="D9" s="5" t="s">
        <v>17</v>
      </c>
      <c r="E9" s="5" t="s">
        <v>217</v>
      </c>
      <c r="F9" s="5">
        <v>1</v>
      </c>
      <c r="G9" s="5">
        <v>1800000</v>
      </c>
      <c r="H9" s="5">
        <f t="shared" si="1"/>
        <v>1260000</v>
      </c>
      <c r="I9" s="5">
        <f t="shared" si="2"/>
        <v>1800000</v>
      </c>
      <c r="J9" s="5">
        <f t="shared" si="3"/>
        <v>540000</v>
      </c>
      <c r="K9" s="10">
        <f t="shared" si="4"/>
        <v>0.3</v>
      </c>
      <c r="L9" s="5"/>
      <c r="M9" s="7" t="str">
        <f t="shared" si="0"/>
        <v>Lê Hoàng Nam</v>
      </c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</row>
    <row r="10" spans="1:30" ht="15.75" customHeight="1" x14ac:dyDescent="0.3">
      <c r="A10" s="5" t="s">
        <v>27</v>
      </c>
      <c r="B10" s="6">
        <v>45139</v>
      </c>
      <c r="C10" s="5" t="s">
        <v>20</v>
      </c>
      <c r="D10" s="5"/>
      <c r="E10" s="5" t="s">
        <v>218</v>
      </c>
      <c r="F10" s="5">
        <v>2</v>
      </c>
      <c r="G10" s="5">
        <v>2200000</v>
      </c>
      <c r="H10" s="5">
        <f t="shared" si="1"/>
        <v>1540000</v>
      </c>
      <c r="I10" s="5">
        <f t="shared" si="2"/>
        <v>4400000</v>
      </c>
      <c r="J10" s="5">
        <f t="shared" si="3"/>
        <v>1320000</v>
      </c>
      <c r="K10" s="10">
        <f t="shared" si="4"/>
        <v>0.3</v>
      </c>
      <c r="L10" s="5"/>
      <c r="M10" s="7" t="str">
        <f t="shared" si="0"/>
        <v>Phạm Quang Dũng</v>
      </c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</row>
    <row r="11" spans="1:30" ht="15.75" customHeight="1" x14ac:dyDescent="0.3">
      <c r="A11" s="5" t="s">
        <v>28</v>
      </c>
      <c r="B11" s="6">
        <v>45139</v>
      </c>
      <c r="C11" s="5" t="s">
        <v>22</v>
      </c>
      <c r="D11" s="5" t="s">
        <v>14</v>
      </c>
      <c r="E11" s="5" t="s">
        <v>219</v>
      </c>
      <c r="F11" s="5">
        <v>1</v>
      </c>
      <c r="G11" s="5">
        <v>6500000</v>
      </c>
      <c r="H11" s="5">
        <f t="shared" si="1"/>
        <v>4550000</v>
      </c>
      <c r="I11" s="5">
        <f t="shared" si="2"/>
        <v>6500000</v>
      </c>
      <c r="J11" s="5">
        <f t="shared" si="3"/>
        <v>1950000</v>
      </c>
      <c r="K11" s="10">
        <f t="shared" si="4"/>
        <v>0.3</v>
      </c>
      <c r="L11" s="5"/>
      <c r="M11" s="7" t="str">
        <f t="shared" si="0"/>
        <v>Hoàng Thị Mai</v>
      </c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</row>
    <row r="12" spans="1:30" ht="15.75" customHeight="1" x14ac:dyDescent="0.3">
      <c r="A12" s="5" t="s">
        <v>29</v>
      </c>
      <c r="B12" s="6">
        <v>45170</v>
      </c>
      <c r="C12" s="5" t="s">
        <v>9</v>
      </c>
      <c r="D12" s="5" t="s">
        <v>10</v>
      </c>
      <c r="E12" s="5" t="s">
        <v>220</v>
      </c>
      <c r="F12" s="5">
        <v>1</v>
      </c>
      <c r="G12" s="5">
        <v>2500000</v>
      </c>
      <c r="H12" s="5">
        <f t="shared" si="1"/>
        <v>1750000</v>
      </c>
      <c r="I12" s="5">
        <f t="shared" si="2"/>
        <v>2500000</v>
      </c>
      <c r="J12" s="5">
        <f t="shared" si="3"/>
        <v>750000</v>
      </c>
      <c r="K12" s="10">
        <f t="shared" si="4"/>
        <v>0.3</v>
      </c>
      <c r="L12" s="5" t="s">
        <v>30</v>
      </c>
      <c r="M12" s="7" t="str">
        <f t="shared" si="0"/>
        <v>Nguyễn Văn An</v>
      </c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</row>
    <row r="13" spans="1:30" ht="15.75" customHeight="1" x14ac:dyDescent="0.3">
      <c r="A13" s="5" t="s">
        <v>31</v>
      </c>
      <c r="B13" s="6">
        <v>45200</v>
      </c>
      <c r="C13" s="5" t="s">
        <v>13</v>
      </c>
      <c r="D13" s="5" t="s">
        <v>14</v>
      </c>
      <c r="E13" s="5" t="s">
        <v>221</v>
      </c>
      <c r="F13" s="5"/>
      <c r="G13" s="5">
        <v>7500000</v>
      </c>
      <c r="H13" s="5">
        <f t="shared" si="1"/>
        <v>5250000</v>
      </c>
      <c r="I13" s="5">
        <f t="shared" si="2"/>
        <v>0</v>
      </c>
      <c r="J13" s="5">
        <f t="shared" si="3"/>
        <v>0</v>
      </c>
      <c r="K13" s="10" t="e">
        <f t="shared" si="4"/>
        <v>#DIV/0!</v>
      </c>
      <c r="L13" s="5"/>
      <c r="M13" s="7" t="str">
        <f t="shared" si="0"/>
        <v>Trần Thị Bình</v>
      </c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</row>
    <row r="14" spans="1:30" ht="15.75" customHeight="1" x14ac:dyDescent="0.3">
      <c r="A14" s="5" t="s">
        <v>32</v>
      </c>
      <c r="B14" s="6">
        <v>45231</v>
      </c>
      <c r="C14" s="5" t="s">
        <v>16</v>
      </c>
      <c r="D14" s="5" t="s">
        <v>17</v>
      </c>
      <c r="E14" s="5" t="s">
        <v>216</v>
      </c>
      <c r="F14" s="5">
        <v>1</v>
      </c>
      <c r="G14" s="5">
        <v>25000000</v>
      </c>
      <c r="H14" s="5">
        <f t="shared" si="1"/>
        <v>17500000</v>
      </c>
      <c r="I14" s="5">
        <f t="shared" si="2"/>
        <v>25000000</v>
      </c>
      <c r="J14" s="5">
        <f t="shared" si="3"/>
        <v>7500000</v>
      </c>
      <c r="K14" s="10">
        <f t="shared" si="4"/>
        <v>0.3</v>
      </c>
      <c r="L14" s="5"/>
      <c r="M14" s="7" t="str">
        <f t="shared" si="0"/>
        <v>Lê Hoàng Nam</v>
      </c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</row>
    <row r="15" spans="1:30" ht="15.75" customHeight="1" x14ac:dyDescent="0.3">
      <c r="A15" s="5" t="s">
        <v>33</v>
      </c>
      <c r="B15" s="6">
        <v>45261</v>
      </c>
      <c r="C15" s="5" t="s">
        <v>20</v>
      </c>
      <c r="D15" s="5"/>
      <c r="E15" s="5" t="s">
        <v>217</v>
      </c>
      <c r="F15" s="5">
        <v>1</v>
      </c>
      <c r="G15" s="5">
        <v>1800000</v>
      </c>
      <c r="H15" s="5">
        <f t="shared" si="1"/>
        <v>1260000</v>
      </c>
      <c r="I15" s="5">
        <f t="shared" si="2"/>
        <v>1800000</v>
      </c>
      <c r="J15" s="5">
        <f t="shared" si="3"/>
        <v>540000</v>
      </c>
      <c r="K15" s="10">
        <f t="shared" si="4"/>
        <v>0.3</v>
      </c>
      <c r="L15" s="5"/>
      <c r="M15" s="7" t="str">
        <f t="shared" si="0"/>
        <v>Phạm Quang Dũng</v>
      </c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</row>
    <row r="16" spans="1:30" ht="15.75" customHeight="1" x14ac:dyDescent="0.3">
      <c r="A16" s="5" t="s">
        <v>34</v>
      </c>
      <c r="B16" s="6">
        <v>45261</v>
      </c>
      <c r="C16" s="5" t="s">
        <v>22</v>
      </c>
      <c r="D16" s="5" t="s">
        <v>14</v>
      </c>
      <c r="E16" s="5" t="s">
        <v>218</v>
      </c>
      <c r="F16" s="5">
        <v>1</v>
      </c>
      <c r="G16" s="5">
        <v>2200000</v>
      </c>
      <c r="H16" s="5">
        <f t="shared" si="1"/>
        <v>1540000</v>
      </c>
      <c r="I16" s="5">
        <f t="shared" si="2"/>
        <v>2200000</v>
      </c>
      <c r="J16" s="5">
        <f t="shared" si="3"/>
        <v>660000</v>
      </c>
      <c r="K16" s="10">
        <f t="shared" si="4"/>
        <v>0.3</v>
      </c>
      <c r="L16" s="5" t="s">
        <v>35</v>
      </c>
      <c r="M16" s="7" t="str">
        <f t="shared" si="0"/>
        <v>Hoàng Thị Mai</v>
      </c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</row>
    <row r="17" spans="1:30" ht="15.75" customHeight="1" x14ac:dyDescent="0.3">
      <c r="A17" s="5" t="s">
        <v>36</v>
      </c>
      <c r="B17" s="5" t="s">
        <v>37</v>
      </c>
      <c r="C17" s="5" t="s">
        <v>9</v>
      </c>
      <c r="D17" s="5" t="s">
        <v>10</v>
      </c>
      <c r="E17" s="5" t="s">
        <v>219</v>
      </c>
      <c r="F17" s="5">
        <v>2</v>
      </c>
      <c r="G17" s="5">
        <v>6500000</v>
      </c>
      <c r="H17" s="5">
        <f t="shared" si="1"/>
        <v>4550000</v>
      </c>
      <c r="I17" s="5">
        <f t="shared" si="2"/>
        <v>13000000</v>
      </c>
      <c r="J17" s="5">
        <f t="shared" si="3"/>
        <v>3900000</v>
      </c>
      <c r="K17" s="10">
        <f t="shared" si="4"/>
        <v>0.3</v>
      </c>
      <c r="L17" s="5"/>
      <c r="M17" s="7" t="str">
        <f t="shared" si="0"/>
        <v>Nguyễn Văn An</v>
      </c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</row>
    <row r="18" spans="1:30" ht="15.75" customHeight="1" x14ac:dyDescent="0.3">
      <c r="A18" s="5" t="s">
        <v>38</v>
      </c>
      <c r="B18" s="5" t="s">
        <v>39</v>
      </c>
      <c r="C18" s="5" t="s">
        <v>13</v>
      </c>
      <c r="D18" s="5" t="s">
        <v>14</v>
      </c>
      <c r="E18" s="5" t="s">
        <v>220</v>
      </c>
      <c r="F18" s="5">
        <v>1</v>
      </c>
      <c r="G18" s="5">
        <v>2500000</v>
      </c>
      <c r="H18" s="5">
        <f t="shared" si="1"/>
        <v>1750000</v>
      </c>
      <c r="I18" s="5">
        <f t="shared" si="2"/>
        <v>2500000</v>
      </c>
      <c r="J18" s="5">
        <f t="shared" si="3"/>
        <v>750000</v>
      </c>
      <c r="K18" s="10">
        <f t="shared" si="4"/>
        <v>0.3</v>
      </c>
      <c r="L18" s="5"/>
      <c r="M18" s="7" t="str">
        <f t="shared" si="0"/>
        <v>Trần Thị Bình</v>
      </c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</row>
    <row r="19" spans="1:30" ht="15.75" customHeight="1" x14ac:dyDescent="0.3">
      <c r="A19" s="5" t="s">
        <v>40</v>
      </c>
      <c r="B19" s="5" t="s">
        <v>41</v>
      </c>
      <c r="C19" s="5" t="s">
        <v>16</v>
      </c>
      <c r="D19" s="5" t="s">
        <v>17</v>
      </c>
      <c r="E19" s="5" t="s">
        <v>221</v>
      </c>
      <c r="F19" s="5">
        <v>1</v>
      </c>
      <c r="G19" s="5">
        <v>7500000</v>
      </c>
      <c r="H19" s="5">
        <f t="shared" si="1"/>
        <v>5250000</v>
      </c>
      <c r="I19" s="5">
        <f t="shared" si="2"/>
        <v>7500000</v>
      </c>
      <c r="J19" s="5">
        <f t="shared" si="3"/>
        <v>2250000</v>
      </c>
      <c r="K19" s="10">
        <f t="shared" si="4"/>
        <v>0.3</v>
      </c>
      <c r="L19" s="5"/>
      <c r="M19" s="7" t="str">
        <f t="shared" si="0"/>
        <v>Lê Hoàng Nam</v>
      </c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</row>
    <row r="20" spans="1:30" ht="15.75" customHeight="1" x14ac:dyDescent="0.3">
      <c r="A20" s="5" t="s">
        <v>42</v>
      </c>
      <c r="B20" s="5" t="s">
        <v>41</v>
      </c>
      <c r="C20" s="5" t="s">
        <v>20</v>
      </c>
      <c r="D20" s="5"/>
      <c r="E20" s="5" t="s">
        <v>216</v>
      </c>
      <c r="F20" s="5">
        <v>1</v>
      </c>
      <c r="G20" s="5">
        <v>25000000</v>
      </c>
      <c r="H20" s="5">
        <f t="shared" si="1"/>
        <v>17500000</v>
      </c>
      <c r="I20" s="5">
        <f t="shared" si="2"/>
        <v>25000000</v>
      </c>
      <c r="J20" s="5">
        <f t="shared" si="3"/>
        <v>7500000</v>
      </c>
      <c r="K20" s="10">
        <f t="shared" si="4"/>
        <v>0.3</v>
      </c>
      <c r="L20" s="5"/>
      <c r="M20" s="7" t="str">
        <f t="shared" si="0"/>
        <v>Phạm Quang Dũng</v>
      </c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</row>
    <row r="21" spans="1:30" ht="15.75" customHeight="1" x14ac:dyDescent="0.3">
      <c r="A21" s="5" t="s">
        <v>43</v>
      </c>
      <c r="B21" s="5" t="s">
        <v>44</v>
      </c>
      <c r="C21" s="5" t="s">
        <v>22</v>
      </c>
      <c r="D21" s="5" t="s">
        <v>14</v>
      </c>
      <c r="E21" s="5" t="s">
        <v>217</v>
      </c>
      <c r="F21" s="5">
        <v>3</v>
      </c>
      <c r="G21" s="5">
        <v>1800000</v>
      </c>
      <c r="H21" s="5">
        <f t="shared" si="1"/>
        <v>1260000</v>
      </c>
      <c r="I21" s="5">
        <f t="shared" si="2"/>
        <v>5400000</v>
      </c>
      <c r="J21" s="5">
        <f t="shared" si="3"/>
        <v>1620000</v>
      </c>
      <c r="K21" s="10">
        <f t="shared" si="4"/>
        <v>0.3</v>
      </c>
      <c r="L21" s="5"/>
      <c r="M21" s="7" t="str">
        <f t="shared" si="0"/>
        <v>Hoàng Thị Mai</v>
      </c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</row>
    <row r="22" spans="1:30" ht="15.75" customHeight="1" x14ac:dyDescent="0.3">
      <c r="A22" s="5" t="s">
        <v>45</v>
      </c>
      <c r="B22" s="5" t="s">
        <v>46</v>
      </c>
      <c r="C22" s="5" t="s">
        <v>9</v>
      </c>
      <c r="D22" s="5" t="s">
        <v>10</v>
      </c>
      <c r="E22" s="5" t="s">
        <v>218</v>
      </c>
      <c r="F22" s="5">
        <v>1</v>
      </c>
      <c r="G22" s="5">
        <v>2200000</v>
      </c>
      <c r="H22" s="5">
        <f t="shared" si="1"/>
        <v>1540000</v>
      </c>
      <c r="I22" s="5">
        <f t="shared" si="2"/>
        <v>2200000</v>
      </c>
      <c r="J22" s="5">
        <f t="shared" si="3"/>
        <v>660000</v>
      </c>
      <c r="K22" s="10">
        <f t="shared" si="4"/>
        <v>0.3</v>
      </c>
      <c r="L22" s="5"/>
      <c r="M22" s="7" t="str">
        <f t="shared" si="0"/>
        <v>Nguyễn Văn An</v>
      </c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</row>
    <row r="23" spans="1:30" ht="15.75" customHeight="1" x14ac:dyDescent="0.3">
      <c r="A23" s="5" t="s">
        <v>47</v>
      </c>
      <c r="B23" s="5" t="s">
        <v>48</v>
      </c>
      <c r="C23" s="5" t="s">
        <v>13</v>
      </c>
      <c r="D23" s="5" t="s">
        <v>14</v>
      </c>
      <c r="E23" s="5" t="s">
        <v>219</v>
      </c>
      <c r="F23" s="5">
        <v>1</v>
      </c>
      <c r="G23" s="5">
        <v>6500000</v>
      </c>
      <c r="H23" s="5">
        <f t="shared" si="1"/>
        <v>4550000</v>
      </c>
      <c r="I23" s="5">
        <f t="shared" si="2"/>
        <v>6500000</v>
      </c>
      <c r="J23" s="5">
        <f t="shared" si="3"/>
        <v>1950000</v>
      </c>
      <c r="K23" s="10">
        <f t="shared" si="4"/>
        <v>0.3</v>
      </c>
      <c r="L23" s="5" t="s">
        <v>49</v>
      </c>
      <c r="M23" s="7" t="str">
        <f t="shared" si="0"/>
        <v>Trần Thị Bình</v>
      </c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</row>
    <row r="24" spans="1:30" ht="15.75" customHeight="1" x14ac:dyDescent="0.3">
      <c r="A24" s="5" t="s">
        <v>50</v>
      </c>
      <c r="B24" s="5" t="s">
        <v>48</v>
      </c>
      <c r="C24" s="5" t="s">
        <v>16</v>
      </c>
      <c r="D24" s="5" t="s">
        <v>17</v>
      </c>
      <c r="E24" s="5" t="s">
        <v>220</v>
      </c>
      <c r="F24" s="5">
        <v>2</v>
      </c>
      <c r="G24" s="5">
        <v>2500000</v>
      </c>
      <c r="H24" s="5">
        <f t="shared" si="1"/>
        <v>1750000</v>
      </c>
      <c r="I24" s="5">
        <f t="shared" si="2"/>
        <v>5000000</v>
      </c>
      <c r="J24" s="5">
        <f t="shared" si="3"/>
        <v>1500000</v>
      </c>
      <c r="K24" s="10">
        <f t="shared" si="4"/>
        <v>0.3</v>
      </c>
      <c r="L24" s="5"/>
      <c r="M24" s="7" t="str">
        <f t="shared" si="0"/>
        <v>Lê Hoàng Nam</v>
      </c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</row>
    <row r="25" spans="1:30" ht="15.75" customHeight="1" x14ac:dyDescent="0.3">
      <c r="A25" s="5" t="s">
        <v>51</v>
      </c>
      <c r="B25" s="5" t="s">
        <v>52</v>
      </c>
      <c r="C25" s="5" t="s">
        <v>20</v>
      </c>
      <c r="D25" s="5"/>
      <c r="E25" s="5" t="s">
        <v>221</v>
      </c>
      <c r="F25" s="5">
        <v>1</v>
      </c>
      <c r="G25" s="5">
        <v>7500000</v>
      </c>
      <c r="H25" s="5">
        <f t="shared" si="1"/>
        <v>5250000</v>
      </c>
      <c r="I25" s="5">
        <f t="shared" si="2"/>
        <v>7500000</v>
      </c>
      <c r="J25" s="5">
        <f t="shared" si="3"/>
        <v>2250000</v>
      </c>
      <c r="K25" s="10">
        <f t="shared" si="4"/>
        <v>0.3</v>
      </c>
      <c r="L25" s="5"/>
      <c r="M25" s="7" t="str">
        <f t="shared" si="0"/>
        <v>Phạm Quang Dũng</v>
      </c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</row>
    <row r="26" spans="1:30" ht="15.75" customHeight="1" x14ac:dyDescent="0.3">
      <c r="A26" s="5" t="s">
        <v>53</v>
      </c>
      <c r="B26" s="5" t="s">
        <v>54</v>
      </c>
      <c r="C26" s="5" t="s">
        <v>22</v>
      </c>
      <c r="D26" s="5" t="s">
        <v>14</v>
      </c>
      <c r="E26" s="5" t="s">
        <v>216</v>
      </c>
      <c r="F26" s="5">
        <v>1</v>
      </c>
      <c r="G26" s="5">
        <v>25000000</v>
      </c>
      <c r="H26" s="5">
        <f t="shared" si="1"/>
        <v>17500000</v>
      </c>
      <c r="I26" s="5">
        <f t="shared" si="2"/>
        <v>25000000</v>
      </c>
      <c r="J26" s="5">
        <f t="shared" si="3"/>
        <v>7500000</v>
      </c>
      <c r="K26" s="10">
        <f t="shared" si="4"/>
        <v>0.3</v>
      </c>
      <c r="L26" s="5"/>
      <c r="M26" s="7" t="str">
        <f t="shared" si="0"/>
        <v>Hoàng Thị Mai</v>
      </c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</row>
    <row r="27" spans="1:30" ht="15.75" customHeight="1" x14ac:dyDescent="0.3">
      <c r="A27" s="5" t="s">
        <v>53</v>
      </c>
      <c r="B27" s="5" t="s">
        <v>54</v>
      </c>
      <c r="C27" s="5" t="s">
        <v>22</v>
      </c>
      <c r="D27" s="5" t="s">
        <v>14</v>
      </c>
      <c r="E27" s="5" t="s">
        <v>216</v>
      </c>
      <c r="F27" s="5">
        <v>1</v>
      </c>
      <c r="G27" s="5">
        <v>25000000</v>
      </c>
      <c r="H27" s="5">
        <f t="shared" si="1"/>
        <v>17500000</v>
      </c>
      <c r="I27" s="5">
        <f t="shared" si="2"/>
        <v>25000000</v>
      </c>
      <c r="J27" s="5">
        <f t="shared" si="3"/>
        <v>7500000</v>
      </c>
      <c r="K27" s="10">
        <f t="shared" si="4"/>
        <v>0.3</v>
      </c>
      <c r="L27" s="5"/>
      <c r="M27" s="7" t="str">
        <f t="shared" si="0"/>
        <v>Hoàng Thị Mai</v>
      </c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</row>
    <row r="28" spans="1:30" ht="15.75" customHeight="1" x14ac:dyDescent="0.3">
      <c r="A28" s="5" t="s">
        <v>55</v>
      </c>
      <c r="B28" s="5" t="s">
        <v>56</v>
      </c>
      <c r="C28" s="5" t="s">
        <v>9</v>
      </c>
      <c r="D28" s="5" t="s">
        <v>10</v>
      </c>
      <c r="E28" s="5" t="s">
        <v>217</v>
      </c>
      <c r="F28" s="5">
        <v>1</v>
      </c>
      <c r="G28" s="5">
        <v>1800000</v>
      </c>
      <c r="H28" s="5">
        <f t="shared" si="1"/>
        <v>1260000</v>
      </c>
      <c r="I28" s="5">
        <f t="shared" si="2"/>
        <v>1800000</v>
      </c>
      <c r="J28" s="5">
        <f t="shared" si="3"/>
        <v>540000</v>
      </c>
      <c r="K28" s="10">
        <f t="shared" si="4"/>
        <v>0.3</v>
      </c>
      <c r="L28" s="5"/>
      <c r="M28" s="7" t="str">
        <f t="shared" si="0"/>
        <v>Nguyễn Văn An</v>
      </c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</row>
    <row r="29" spans="1:30" ht="15.75" customHeight="1" x14ac:dyDescent="0.3">
      <c r="A29" s="5" t="s">
        <v>57</v>
      </c>
      <c r="B29" s="5" t="s">
        <v>58</v>
      </c>
      <c r="C29" s="5" t="s">
        <v>13</v>
      </c>
      <c r="D29" s="5" t="s">
        <v>14</v>
      </c>
      <c r="E29" s="5" t="s">
        <v>218</v>
      </c>
      <c r="F29" s="5">
        <v>1</v>
      </c>
      <c r="G29" s="5">
        <v>2200000</v>
      </c>
      <c r="H29" s="5">
        <f t="shared" si="1"/>
        <v>1540000</v>
      </c>
      <c r="I29" s="5">
        <f t="shared" si="2"/>
        <v>2200000</v>
      </c>
      <c r="J29" s="5">
        <f t="shared" si="3"/>
        <v>660000</v>
      </c>
      <c r="K29" s="10">
        <f t="shared" si="4"/>
        <v>0.3</v>
      </c>
      <c r="L29" s="5"/>
      <c r="M29" s="7" t="str">
        <f t="shared" si="0"/>
        <v>Trần Thị Bình</v>
      </c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</row>
    <row r="30" spans="1:30" ht="15.75" customHeight="1" x14ac:dyDescent="0.3">
      <c r="A30" s="5" t="s">
        <v>59</v>
      </c>
      <c r="B30" s="5" t="s">
        <v>60</v>
      </c>
      <c r="C30" s="5" t="s">
        <v>16</v>
      </c>
      <c r="D30" s="5" t="s">
        <v>17</v>
      </c>
      <c r="E30" s="5" t="s">
        <v>219</v>
      </c>
      <c r="F30" s="5">
        <v>1</v>
      </c>
      <c r="G30" s="5">
        <v>6500000</v>
      </c>
      <c r="H30" s="5">
        <f t="shared" si="1"/>
        <v>4550000</v>
      </c>
      <c r="I30" s="5">
        <f t="shared" si="2"/>
        <v>6500000</v>
      </c>
      <c r="J30" s="5">
        <f t="shared" si="3"/>
        <v>1950000</v>
      </c>
      <c r="K30" s="10">
        <f t="shared" si="4"/>
        <v>0.3</v>
      </c>
      <c r="L30" s="5"/>
      <c r="M30" s="7" t="str">
        <f t="shared" si="0"/>
        <v>Lê Hoàng Nam</v>
      </c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</row>
    <row r="31" spans="1:30" ht="15.75" customHeight="1" x14ac:dyDescent="0.3">
      <c r="A31" s="5" t="s">
        <v>61</v>
      </c>
      <c r="B31" s="5" t="s">
        <v>60</v>
      </c>
      <c r="C31" s="5" t="s">
        <v>20</v>
      </c>
      <c r="D31" s="5"/>
      <c r="E31" s="5" t="s">
        <v>220</v>
      </c>
      <c r="F31" s="5">
        <v>4</v>
      </c>
      <c r="G31" s="5">
        <v>2500000</v>
      </c>
      <c r="H31" s="5">
        <f t="shared" si="1"/>
        <v>1750000</v>
      </c>
      <c r="I31" s="5">
        <f t="shared" si="2"/>
        <v>10000000</v>
      </c>
      <c r="J31" s="5">
        <f t="shared" si="3"/>
        <v>3000000</v>
      </c>
      <c r="K31" s="10">
        <f t="shared" si="4"/>
        <v>0.3</v>
      </c>
      <c r="L31" s="5"/>
      <c r="M31" s="7" t="str">
        <f t="shared" si="0"/>
        <v>Phạm Quang Dũng</v>
      </c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</row>
    <row r="32" spans="1:30" ht="15.75" customHeight="1" x14ac:dyDescent="0.3">
      <c r="A32" s="5" t="s">
        <v>62</v>
      </c>
      <c r="B32" s="5" t="s">
        <v>63</v>
      </c>
      <c r="C32" s="5" t="s">
        <v>22</v>
      </c>
      <c r="D32" s="5" t="s">
        <v>14</v>
      </c>
      <c r="E32" s="5" t="s">
        <v>221</v>
      </c>
      <c r="F32" s="5">
        <v>1</v>
      </c>
      <c r="G32" s="5">
        <v>7500000</v>
      </c>
      <c r="H32" s="5">
        <f t="shared" si="1"/>
        <v>5250000</v>
      </c>
      <c r="I32" s="5">
        <f t="shared" si="2"/>
        <v>7500000</v>
      </c>
      <c r="J32" s="5">
        <f t="shared" si="3"/>
        <v>2250000</v>
      </c>
      <c r="K32" s="10">
        <f t="shared" si="4"/>
        <v>0.3</v>
      </c>
      <c r="L32" s="5"/>
      <c r="M32" s="7" t="str">
        <f t="shared" si="0"/>
        <v>Hoàng Thị Mai</v>
      </c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</row>
    <row r="33" spans="1:30" ht="15.75" customHeight="1" x14ac:dyDescent="0.3">
      <c r="A33" s="5" t="s">
        <v>64</v>
      </c>
      <c r="B33" s="6">
        <v>44928</v>
      </c>
      <c r="C33" s="5" t="s">
        <v>9</v>
      </c>
      <c r="D33" s="5" t="s">
        <v>10</v>
      </c>
      <c r="E33" s="5" t="s">
        <v>65</v>
      </c>
      <c r="F33" s="5">
        <v>2</v>
      </c>
      <c r="G33" s="5">
        <v>2100000</v>
      </c>
      <c r="H33" s="5">
        <f t="shared" si="1"/>
        <v>1470000</v>
      </c>
      <c r="I33" s="5">
        <f t="shared" si="2"/>
        <v>4200000</v>
      </c>
      <c r="J33" s="5">
        <f t="shared" si="3"/>
        <v>1260000</v>
      </c>
      <c r="K33" s="10">
        <f t="shared" si="4"/>
        <v>0.3</v>
      </c>
      <c r="L33" s="5"/>
      <c r="M33" s="7" t="str">
        <f t="shared" si="0"/>
        <v>Nguyễn Văn An</v>
      </c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</row>
    <row r="34" spans="1:30" ht="15.75" customHeight="1" x14ac:dyDescent="0.3">
      <c r="A34" s="5" t="s">
        <v>66</v>
      </c>
      <c r="B34" s="6">
        <v>44959</v>
      </c>
      <c r="C34" s="5" t="s">
        <v>13</v>
      </c>
      <c r="D34" s="5" t="s">
        <v>14</v>
      </c>
      <c r="E34" s="5" t="s">
        <v>222</v>
      </c>
      <c r="F34" s="5">
        <v>3</v>
      </c>
      <c r="G34" s="5">
        <v>450000</v>
      </c>
      <c r="H34" s="5">
        <f t="shared" si="1"/>
        <v>315000</v>
      </c>
      <c r="I34" s="5">
        <f t="shared" si="2"/>
        <v>1350000</v>
      </c>
      <c r="J34" s="5">
        <f t="shared" si="3"/>
        <v>405000</v>
      </c>
      <c r="K34" s="10">
        <f t="shared" si="4"/>
        <v>0.3</v>
      </c>
      <c r="L34" s="5"/>
      <c r="M34" s="7" t="str">
        <f t="shared" si="0"/>
        <v>Trần Thị Bình</v>
      </c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</row>
    <row r="35" spans="1:30" ht="15.75" customHeight="1" x14ac:dyDescent="0.3">
      <c r="A35" s="5" t="s">
        <v>67</v>
      </c>
      <c r="B35" s="6">
        <v>44959</v>
      </c>
      <c r="C35" s="5" t="s">
        <v>16</v>
      </c>
      <c r="D35" s="5" t="s">
        <v>17</v>
      </c>
      <c r="E35" s="5" t="s">
        <v>216</v>
      </c>
      <c r="F35" s="5">
        <v>1</v>
      </c>
      <c r="G35" s="5">
        <v>25000000</v>
      </c>
      <c r="H35" s="5">
        <f t="shared" si="1"/>
        <v>17500000</v>
      </c>
      <c r="I35" s="5">
        <f t="shared" si="2"/>
        <v>25000000</v>
      </c>
      <c r="J35" s="5">
        <f t="shared" si="3"/>
        <v>7500000</v>
      </c>
      <c r="K35" s="10">
        <f t="shared" si="4"/>
        <v>0.3</v>
      </c>
      <c r="L35" s="5"/>
      <c r="M35" s="7" t="str">
        <f t="shared" si="0"/>
        <v>Lê Hoàng Nam</v>
      </c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</row>
    <row r="36" spans="1:30" ht="15.75" customHeight="1" x14ac:dyDescent="0.3">
      <c r="A36" s="5" t="s">
        <v>68</v>
      </c>
      <c r="B36" s="6">
        <v>44987</v>
      </c>
      <c r="C36" s="5" t="s">
        <v>20</v>
      </c>
      <c r="D36" s="5"/>
      <c r="E36" s="5" t="s">
        <v>217</v>
      </c>
      <c r="F36" s="5">
        <v>1</v>
      </c>
      <c r="G36" s="5">
        <v>1800000</v>
      </c>
      <c r="H36" s="5">
        <f t="shared" si="1"/>
        <v>1260000</v>
      </c>
      <c r="I36" s="5">
        <f t="shared" si="2"/>
        <v>1800000</v>
      </c>
      <c r="J36" s="5">
        <f t="shared" si="3"/>
        <v>540000</v>
      </c>
      <c r="K36" s="10">
        <f t="shared" si="4"/>
        <v>0.3</v>
      </c>
      <c r="L36" s="5" t="s">
        <v>23</v>
      </c>
      <c r="M36" s="7" t="str">
        <f t="shared" si="0"/>
        <v>Phạm Quang Dũng</v>
      </c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</row>
    <row r="37" spans="1:30" ht="15.75" customHeight="1" x14ac:dyDescent="0.3">
      <c r="A37" s="5" t="s">
        <v>69</v>
      </c>
      <c r="B37" s="6">
        <v>45018</v>
      </c>
      <c r="C37" s="5" t="s">
        <v>22</v>
      </c>
      <c r="D37" s="5" t="s">
        <v>14</v>
      </c>
      <c r="E37" s="5" t="s">
        <v>218</v>
      </c>
      <c r="F37" s="5">
        <v>1</v>
      </c>
      <c r="G37" s="5">
        <v>2200000</v>
      </c>
      <c r="H37" s="5">
        <f t="shared" si="1"/>
        <v>1540000</v>
      </c>
      <c r="I37" s="5">
        <f t="shared" si="2"/>
        <v>2200000</v>
      </c>
      <c r="J37" s="5">
        <f t="shared" si="3"/>
        <v>660000</v>
      </c>
      <c r="K37" s="10">
        <f t="shared" si="4"/>
        <v>0.3</v>
      </c>
      <c r="L37" s="5"/>
      <c r="M37" s="7" t="str">
        <f t="shared" si="0"/>
        <v>Hoàng Thị Mai</v>
      </c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</row>
    <row r="38" spans="1:30" ht="15.75" customHeight="1" x14ac:dyDescent="0.3">
      <c r="A38" s="5" t="s">
        <v>70</v>
      </c>
      <c r="B38" s="6">
        <v>45048</v>
      </c>
      <c r="C38" s="5" t="s">
        <v>9</v>
      </c>
      <c r="D38" s="5" t="s">
        <v>10</v>
      </c>
      <c r="E38" s="5" t="s">
        <v>219</v>
      </c>
      <c r="F38" s="5">
        <v>1</v>
      </c>
      <c r="G38" s="5">
        <v>6500000</v>
      </c>
      <c r="H38" s="5">
        <f t="shared" si="1"/>
        <v>4550000</v>
      </c>
      <c r="I38" s="5">
        <f t="shared" si="2"/>
        <v>6500000</v>
      </c>
      <c r="J38" s="5">
        <f t="shared" si="3"/>
        <v>1950000</v>
      </c>
      <c r="K38" s="10">
        <f t="shared" si="4"/>
        <v>0.3</v>
      </c>
      <c r="L38" s="5"/>
      <c r="M38" s="7" t="str">
        <f t="shared" si="0"/>
        <v>Nguyễn Văn An</v>
      </c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</row>
    <row r="39" spans="1:30" ht="15.75" customHeight="1" x14ac:dyDescent="0.3">
      <c r="A39" s="5" t="s">
        <v>71</v>
      </c>
      <c r="B39" s="6">
        <v>45048</v>
      </c>
      <c r="C39" s="5" t="s">
        <v>13</v>
      </c>
      <c r="D39" s="5" t="s">
        <v>14</v>
      </c>
      <c r="E39" s="5" t="s">
        <v>220</v>
      </c>
      <c r="F39" s="5">
        <v>2</v>
      </c>
      <c r="G39" s="5">
        <v>2500000</v>
      </c>
      <c r="H39" s="5">
        <f t="shared" si="1"/>
        <v>1750000</v>
      </c>
      <c r="I39" s="5">
        <f t="shared" si="2"/>
        <v>5000000</v>
      </c>
      <c r="J39" s="5">
        <f t="shared" si="3"/>
        <v>1500000</v>
      </c>
      <c r="K39" s="10">
        <f t="shared" si="4"/>
        <v>0.3</v>
      </c>
      <c r="L39" s="5"/>
      <c r="M39" s="7" t="str">
        <f t="shared" si="0"/>
        <v>Trần Thị Bình</v>
      </c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</row>
    <row r="40" spans="1:30" ht="15.75" customHeight="1" x14ac:dyDescent="0.3">
      <c r="A40" s="5" t="s">
        <v>72</v>
      </c>
      <c r="B40" s="6">
        <v>45079</v>
      </c>
      <c r="C40" s="5" t="s">
        <v>16</v>
      </c>
      <c r="D40" s="5" t="s">
        <v>17</v>
      </c>
      <c r="E40" s="5" t="s">
        <v>221</v>
      </c>
      <c r="F40" s="5">
        <v>1</v>
      </c>
      <c r="G40" s="5">
        <v>7500000</v>
      </c>
      <c r="H40" s="5">
        <f t="shared" si="1"/>
        <v>5250000</v>
      </c>
      <c r="I40" s="5">
        <f t="shared" si="2"/>
        <v>7500000</v>
      </c>
      <c r="J40" s="5">
        <f t="shared" si="3"/>
        <v>2250000</v>
      </c>
      <c r="K40" s="10">
        <f t="shared" si="4"/>
        <v>0.3</v>
      </c>
      <c r="L40" s="5"/>
      <c r="M40" s="7" t="str">
        <f t="shared" si="0"/>
        <v>Lê Hoàng Nam</v>
      </c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</row>
    <row r="41" spans="1:30" ht="15.75" customHeight="1" x14ac:dyDescent="0.3">
      <c r="A41" s="5" t="s">
        <v>73</v>
      </c>
      <c r="B41" s="6">
        <v>45109</v>
      </c>
      <c r="C41" s="5" t="s">
        <v>20</v>
      </c>
      <c r="D41" s="5"/>
      <c r="E41" s="5" t="s">
        <v>65</v>
      </c>
      <c r="F41" s="5">
        <v>1</v>
      </c>
      <c r="G41" s="5">
        <v>2100000</v>
      </c>
      <c r="H41" s="5">
        <f t="shared" si="1"/>
        <v>1470000</v>
      </c>
      <c r="I41" s="5">
        <f t="shared" si="2"/>
        <v>2100000</v>
      </c>
      <c r="J41" s="5">
        <f t="shared" si="3"/>
        <v>630000</v>
      </c>
      <c r="K41" s="10">
        <f t="shared" si="4"/>
        <v>0.3</v>
      </c>
      <c r="L41" s="5"/>
      <c r="M41" s="7" t="str">
        <f t="shared" si="0"/>
        <v>Phạm Quang Dũng</v>
      </c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</row>
    <row r="42" spans="1:30" ht="15.75" customHeight="1" x14ac:dyDescent="0.3">
      <c r="A42" s="5" t="s">
        <v>74</v>
      </c>
      <c r="B42" s="6">
        <v>45140</v>
      </c>
      <c r="C42" s="5" t="s">
        <v>22</v>
      </c>
      <c r="D42" s="5" t="s">
        <v>14</v>
      </c>
      <c r="E42" s="5" t="s">
        <v>222</v>
      </c>
      <c r="F42" s="5">
        <v>5</v>
      </c>
      <c r="G42" s="5">
        <v>450000</v>
      </c>
      <c r="H42" s="5">
        <f t="shared" si="1"/>
        <v>315000</v>
      </c>
      <c r="I42" s="5">
        <f t="shared" si="2"/>
        <v>2250000</v>
      </c>
      <c r="J42" s="5">
        <f t="shared" si="3"/>
        <v>675000</v>
      </c>
      <c r="K42" s="10">
        <f t="shared" si="4"/>
        <v>0.3</v>
      </c>
      <c r="L42" s="5"/>
      <c r="M42" s="7" t="str">
        <f t="shared" si="0"/>
        <v>Hoàng Thị Mai</v>
      </c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</row>
    <row r="43" spans="1:30" ht="15.75" customHeight="1" x14ac:dyDescent="0.3">
      <c r="A43" s="5" t="s">
        <v>75</v>
      </c>
      <c r="B43" s="6">
        <v>45140</v>
      </c>
      <c r="C43" s="5" t="s">
        <v>9</v>
      </c>
      <c r="D43" s="5" t="s">
        <v>10</v>
      </c>
      <c r="E43" s="5" t="s">
        <v>216</v>
      </c>
      <c r="F43" s="5">
        <v>1</v>
      </c>
      <c r="G43" s="5">
        <v>25000000</v>
      </c>
      <c r="H43" s="5">
        <f t="shared" si="1"/>
        <v>17500000</v>
      </c>
      <c r="I43" s="5">
        <f t="shared" si="2"/>
        <v>25000000</v>
      </c>
      <c r="J43" s="5">
        <f t="shared" si="3"/>
        <v>7500000</v>
      </c>
      <c r="K43" s="10">
        <f t="shared" si="4"/>
        <v>0.3</v>
      </c>
      <c r="L43" s="5"/>
      <c r="M43" s="7" t="str">
        <f t="shared" si="0"/>
        <v>Nguyễn Văn An</v>
      </c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</row>
    <row r="44" spans="1:30" ht="15.75" customHeight="1" x14ac:dyDescent="0.3">
      <c r="A44" s="5" t="s">
        <v>76</v>
      </c>
      <c r="B44" s="6">
        <v>45171</v>
      </c>
      <c r="C44" s="5" t="s">
        <v>13</v>
      </c>
      <c r="D44" s="5" t="s">
        <v>14</v>
      </c>
      <c r="E44" s="5" t="s">
        <v>217</v>
      </c>
      <c r="F44" s="5">
        <v>1</v>
      </c>
      <c r="G44" s="5">
        <v>1800000</v>
      </c>
      <c r="H44" s="5">
        <f t="shared" si="1"/>
        <v>1260000</v>
      </c>
      <c r="I44" s="5">
        <f t="shared" si="2"/>
        <v>1800000</v>
      </c>
      <c r="J44" s="5">
        <f t="shared" si="3"/>
        <v>540000</v>
      </c>
      <c r="K44" s="10">
        <f t="shared" si="4"/>
        <v>0.3</v>
      </c>
      <c r="L44" s="5"/>
      <c r="M44" s="7" t="str">
        <f t="shared" si="0"/>
        <v>Trần Thị Bình</v>
      </c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</row>
    <row r="45" spans="1:30" ht="15.75" customHeight="1" x14ac:dyDescent="0.3">
      <c r="A45" s="5" t="s">
        <v>77</v>
      </c>
      <c r="B45" s="6">
        <v>45201</v>
      </c>
      <c r="C45" s="5" t="s">
        <v>16</v>
      </c>
      <c r="D45" s="5" t="s">
        <v>17</v>
      </c>
      <c r="E45" s="5" t="s">
        <v>218</v>
      </c>
      <c r="F45" s="5"/>
      <c r="G45" s="5">
        <v>2200000</v>
      </c>
      <c r="H45" s="5">
        <f t="shared" si="1"/>
        <v>1540000</v>
      </c>
      <c r="I45" s="5">
        <f t="shared" si="2"/>
        <v>0</v>
      </c>
      <c r="J45" s="5">
        <f t="shared" si="3"/>
        <v>0</v>
      </c>
      <c r="K45" s="10" t="e">
        <f t="shared" si="4"/>
        <v>#DIV/0!</v>
      </c>
      <c r="L45" s="5" t="s">
        <v>18</v>
      </c>
      <c r="M45" s="7" t="str">
        <f t="shared" si="0"/>
        <v>Lê Hoàng Nam</v>
      </c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</row>
    <row r="46" spans="1:30" ht="15.75" customHeight="1" x14ac:dyDescent="0.3">
      <c r="A46" s="5"/>
      <c r="B46" s="6">
        <v>45232</v>
      </c>
      <c r="C46" s="5" t="s">
        <v>20</v>
      </c>
      <c r="D46" s="5"/>
      <c r="E46" s="5" t="s">
        <v>219</v>
      </c>
      <c r="F46" s="5">
        <v>1</v>
      </c>
      <c r="G46" s="5">
        <v>6500000</v>
      </c>
      <c r="H46" s="5">
        <f t="shared" si="1"/>
        <v>4550000</v>
      </c>
      <c r="I46" s="5">
        <f t="shared" si="2"/>
        <v>6500000</v>
      </c>
      <c r="J46" s="5">
        <f t="shared" si="3"/>
        <v>1950000</v>
      </c>
      <c r="K46" s="10">
        <f t="shared" si="4"/>
        <v>0.3</v>
      </c>
      <c r="L46" s="5"/>
      <c r="M46" s="7" t="str">
        <f t="shared" si="0"/>
        <v>Phạm Quang Dũng</v>
      </c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</row>
    <row r="47" spans="1:30" ht="15.75" customHeight="1" x14ac:dyDescent="0.3">
      <c r="A47" s="5"/>
      <c r="B47" s="6">
        <v>45232</v>
      </c>
      <c r="C47" s="5" t="s">
        <v>22</v>
      </c>
      <c r="D47" s="5" t="s">
        <v>14</v>
      </c>
      <c r="E47" s="5" t="s">
        <v>220</v>
      </c>
      <c r="F47" s="5">
        <v>1</v>
      </c>
      <c r="G47" s="5">
        <v>2500000</v>
      </c>
      <c r="H47" s="5">
        <f t="shared" si="1"/>
        <v>1750000</v>
      </c>
      <c r="I47" s="5">
        <f t="shared" si="2"/>
        <v>2500000</v>
      </c>
      <c r="J47" s="5">
        <f t="shared" si="3"/>
        <v>750000</v>
      </c>
      <c r="K47" s="10">
        <f t="shared" si="4"/>
        <v>0.3</v>
      </c>
      <c r="L47" s="5"/>
      <c r="M47" s="7" t="str">
        <f t="shared" si="0"/>
        <v>Hoàng Thị Mai</v>
      </c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</row>
    <row r="48" spans="1:30" ht="15.75" customHeight="1" x14ac:dyDescent="0.3">
      <c r="A48" s="5" t="s">
        <v>78</v>
      </c>
      <c r="B48" s="6">
        <v>45262</v>
      </c>
      <c r="C48" s="5" t="s">
        <v>9</v>
      </c>
      <c r="D48" s="5" t="s">
        <v>10</v>
      </c>
      <c r="E48" s="5" t="s">
        <v>221</v>
      </c>
      <c r="F48" s="5">
        <v>1</v>
      </c>
      <c r="G48" s="5">
        <v>7500000</v>
      </c>
      <c r="H48" s="5">
        <f t="shared" si="1"/>
        <v>5250000</v>
      </c>
      <c r="I48" s="5">
        <f t="shared" si="2"/>
        <v>7500000</v>
      </c>
      <c r="J48" s="5">
        <f t="shared" si="3"/>
        <v>2250000</v>
      </c>
      <c r="K48" s="10">
        <f t="shared" si="4"/>
        <v>0.3</v>
      </c>
      <c r="L48" s="5"/>
      <c r="M48" s="7" t="str">
        <f t="shared" si="0"/>
        <v>Nguyễn Văn An</v>
      </c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</row>
    <row r="49" spans="1:30" ht="15.75" customHeight="1" x14ac:dyDescent="0.3">
      <c r="A49" s="5" t="s">
        <v>79</v>
      </c>
      <c r="B49" s="5" t="s">
        <v>80</v>
      </c>
      <c r="C49" s="5" t="s">
        <v>13</v>
      </c>
      <c r="D49" s="5" t="s">
        <v>14</v>
      </c>
      <c r="E49" s="5" t="s">
        <v>65</v>
      </c>
      <c r="F49" s="5">
        <v>3</v>
      </c>
      <c r="G49" s="5">
        <v>2100000</v>
      </c>
      <c r="H49" s="5">
        <f t="shared" si="1"/>
        <v>1470000</v>
      </c>
      <c r="I49" s="5">
        <f t="shared" si="2"/>
        <v>6300000</v>
      </c>
      <c r="J49" s="5">
        <f t="shared" si="3"/>
        <v>1890000</v>
      </c>
      <c r="K49" s="10">
        <f t="shared" si="4"/>
        <v>0.3</v>
      </c>
      <c r="L49" s="5" t="s">
        <v>11</v>
      </c>
      <c r="M49" s="7" t="str">
        <f t="shared" si="0"/>
        <v>Trần Thị Bình</v>
      </c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</row>
    <row r="50" spans="1:30" ht="15.75" customHeight="1" x14ac:dyDescent="0.3">
      <c r="A50" s="5" t="s">
        <v>81</v>
      </c>
      <c r="B50" s="5" t="s">
        <v>82</v>
      </c>
      <c r="C50" s="5" t="s">
        <v>16</v>
      </c>
      <c r="D50" s="5" t="s">
        <v>17</v>
      </c>
      <c r="E50" s="5" t="s">
        <v>222</v>
      </c>
      <c r="F50" s="5">
        <v>2</v>
      </c>
      <c r="G50" s="5">
        <v>450000</v>
      </c>
      <c r="H50" s="5">
        <f t="shared" si="1"/>
        <v>315000</v>
      </c>
      <c r="I50" s="5">
        <f t="shared" si="2"/>
        <v>900000</v>
      </c>
      <c r="J50" s="5">
        <f t="shared" si="3"/>
        <v>270000</v>
      </c>
      <c r="K50" s="10">
        <f t="shared" si="4"/>
        <v>0.3</v>
      </c>
      <c r="L50" s="5"/>
      <c r="M50" s="7" t="str">
        <f t="shared" si="0"/>
        <v>Lê Hoàng Nam</v>
      </c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</row>
    <row r="51" spans="1:30" ht="15.75" customHeight="1" x14ac:dyDescent="0.3">
      <c r="A51" s="5" t="s">
        <v>83</v>
      </c>
      <c r="B51" s="5" t="s">
        <v>84</v>
      </c>
      <c r="C51" s="5" t="s">
        <v>20</v>
      </c>
      <c r="D51" s="5"/>
      <c r="E51" s="5" t="s">
        <v>216</v>
      </c>
      <c r="F51" s="5">
        <v>1</v>
      </c>
      <c r="G51" s="5">
        <v>2100000</v>
      </c>
      <c r="H51" s="5">
        <f t="shared" si="1"/>
        <v>1470000</v>
      </c>
      <c r="I51" s="5">
        <f t="shared" si="2"/>
        <v>2100000</v>
      </c>
      <c r="J51" s="5">
        <f t="shared" si="3"/>
        <v>630000</v>
      </c>
      <c r="K51" s="10">
        <f t="shared" si="4"/>
        <v>0.3</v>
      </c>
      <c r="L51" s="5"/>
      <c r="M51" s="7" t="str">
        <f t="shared" si="0"/>
        <v>Phạm Quang Dũng</v>
      </c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</row>
    <row r="52" spans="1:30" ht="15.75" customHeight="1" x14ac:dyDescent="0.3">
      <c r="A52" s="5" t="s">
        <v>85</v>
      </c>
      <c r="B52" s="5" t="s">
        <v>84</v>
      </c>
      <c r="C52" s="5" t="s">
        <v>22</v>
      </c>
      <c r="D52" s="5" t="s">
        <v>14</v>
      </c>
      <c r="E52" s="5" t="s">
        <v>217</v>
      </c>
      <c r="F52" s="5">
        <v>1</v>
      </c>
      <c r="G52" s="5">
        <v>1800000</v>
      </c>
      <c r="H52" s="5">
        <f t="shared" si="1"/>
        <v>1260000</v>
      </c>
      <c r="I52" s="5">
        <f t="shared" si="2"/>
        <v>1800000</v>
      </c>
      <c r="J52" s="5">
        <f t="shared" si="3"/>
        <v>540000</v>
      </c>
      <c r="K52" s="10">
        <f t="shared" si="4"/>
        <v>0.3</v>
      </c>
      <c r="L52" s="5"/>
      <c r="M52" s="7" t="str">
        <f t="shared" si="0"/>
        <v>Hoàng Thị Mai</v>
      </c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</row>
    <row r="53" spans="1:30" ht="15.75" customHeight="1" x14ac:dyDescent="0.3">
      <c r="A53" s="5" t="s">
        <v>86</v>
      </c>
      <c r="B53" s="5" t="s">
        <v>87</v>
      </c>
      <c r="C53" s="5" t="s">
        <v>9</v>
      </c>
      <c r="D53" s="5" t="s">
        <v>10</v>
      </c>
      <c r="E53" s="5" t="s">
        <v>218</v>
      </c>
      <c r="F53" s="5">
        <v>1</v>
      </c>
      <c r="G53" s="5">
        <v>2200000</v>
      </c>
      <c r="H53" s="5">
        <f t="shared" si="1"/>
        <v>1540000</v>
      </c>
      <c r="I53" s="5">
        <f t="shared" si="2"/>
        <v>2200000</v>
      </c>
      <c r="J53" s="5">
        <f t="shared" si="3"/>
        <v>660000</v>
      </c>
      <c r="K53" s="10">
        <f t="shared" si="4"/>
        <v>0.3</v>
      </c>
      <c r="L53" s="5"/>
      <c r="M53" s="7" t="str">
        <f t="shared" si="0"/>
        <v>Nguyễn Văn An</v>
      </c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</row>
    <row r="54" spans="1:30" ht="15.75" customHeight="1" x14ac:dyDescent="0.3">
      <c r="A54" s="5" t="s">
        <v>88</v>
      </c>
      <c r="B54" s="5" t="s">
        <v>89</v>
      </c>
      <c r="C54" s="5" t="s">
        <v>13</v>
      </c>
      <c r="D54" s="5" t="s">
        <v>14</v>
      </c>
      <c r="E54" s="5" t="s">
        <v>219</v>
      </c>
      <c r="F54" s="5"/>
      <c r="G54" s="5">
        <v>6500000</v>
      </c>
      <c r="H54" s="5">
        <f t="shared" si="1"/>
        <v>4550000</v>
      </c>
      <c r="I54" s="5">
        <f t="shared" si="2"/>
        <v>0</v>
      </c>
      <c r="J54" s="5">
        <f t="shared" si="3"/>
        <v>0</v>
      </c>
      <c r="K54" s="10" t="e">
        <f t="shared" si="4"/>
        <v>#DIV/0!</v>
      </c>
      <c r="L54" s="5"/>
      <c r="M54" s="7" t="str">
        <f t="shared" si="0"/>
        <v>Trần Thị Bình</v>
      </c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</row>
    <row r="55" spans="1:30" ht="15.75" customHeight="1" x14ac:dyDescent="0.3">
      <c r="A55" s="5" t="s">
        <v>90</v>
      </c>
      <c r="B55" s="5" t="s">
        <v>91</v>
      </c>
      <c r="C55" s="5" t="s">
        <v>16</v>
      </c>
      <c r="D55" s="5" t="s">
        <v>17</v>
      </c>
      <c r="E55" s="5" t="s">
        <v>220</v>
      </c>
      <c r="F55" s="5">
        <v>1</v>
      </c>
      <c r="G55" s="5">
        <v>2500000</v>
      </c>
      <c r="H55" s="5">
        <f t="shared" si="1"/>
        <v>1750000</v>
      </c>
      <c r="I55" s="5">
        <f t="shared" si="2"/>
        <v>2500000</v>
      </c>
      <c r="J55" s="5">
        <f t="shared" si="3"/>
        <v>750000</v>
      </c>
      <c r="K55" s="10">
        <f t="shared" si="4"/>
        <v>0.3</v>
      </c>
      <c r="L55" s="5"/>
      <c r="M55" s="7" t="str">
        <f t="shared" si="0"/>
        <v>Lê Hoàng Nam</v>
      </c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</row>
    <row r="56" spans="1:30" ht="15.75" customHeight="1" x14ac:dyDescent="0.3">
      <c r="A56" s="5" t="s">
        <v>92</v>
      </c>
      <c r="B56" s="5" t="s">
        <v>91</v>
      </c>
      <c r="C56" s="5" t="s">
        <v>20</v>
      </c>
      <c r="D56" s="5"/>
      <c r="E56" s="5" t="s">
        <v>221</v>
      </c>
      <c r="F56" s="5">
        <v>2</v>
      </c>
      <c r="G56" s="5">
        <v>7500000</v>
      </c>
      <c r="H56" s="5">
        <f t="shared" si="1"/>
        <v>5250000</v>
      </c>
      <c r="I56" s="5">
        <f t="shared" si="2"/>
        <v>15000000</v>
      </c>
      <c r="J56" s="5">
        <f t="shared" si="3"/>
        <v>4500000</v>
      </c>
      <c r="K56" s="10">
        <f t="shared" si="4"/>
        <v>0.3</v>
      </c>
      <c r="L56" s="5"/>
      <c r="M56" s="7" t="str">
        <f t="shared" si="0"/>
        <v>Phạm Quang Dũng</v>
      </c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</row>
    <row r="57" spans="1:30" ht="15.75" customHeight="1" x14ac:dyDescent="0.3">
      <c r="A57" s="5" t="s">
        <v>93</v>
      </c>
      <c r="B57" s="5" t="s">
        <v>94</v>
      </c>
      <c r="C57" s="5" t="s">
        <v>22</v>
      </c>
      <c r="D57" s="5" t="s">
        <v>14</v>
      </c>
      <c r="E57" s="5" t="s">
        <v>65</v>
      </c>
      <c r="F57" s="5">
        <v>1</v>
      </c>
      <c r="G57" s="5">
        <v>2100000</v>
      </c>
      <c r="H57" s="5">
        <f t="shared" si="1"/>
        <v>1470000</v>
      </c>
      <c r="I57" s="5">
        <f t="shared" si="2"/>
        <v>2100000</v>
      </c>
      <c r="J57" s="5">
        <f t="shared" si="3"/>
        <v>630000</v>
      </c>
      <c r="K57" s="10">
        <f t="shared" si="4"/>
        <v>0.3</v>
      </c>
      <c r="L57" s="5"/>
      <c r="M57" s="7" t="str">
        <f t="shared" si="0"/>
        <v>Hoàng Thị Mai</v>
      </c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</row>
    <row r="58" spans="1:30" ht="15.75" customHeight="1" x14ac:dyDescent="0.3">
      <c r="A58" s="5" t="s">
        <v>95</v>
      </c>
      <c r="B58" s="5" t="s">
        <v>96</v>
      </c>
      <c r="C58" s="5" t="s">
        <v>9</v>
      </c>
      <c r="D58" s="5" t="s">
        <v>10</v>
      </c>
      <c r="E58" s="5" t="s">
        <v>222</v>
      </c>
      <c r="F58" s="5">
        <v>4</v>
      </c>
      <c r="G58" s="5">
        <v>450000</v>
      </c>
      <c r="H58" s="5">
        <f t="shared" si="1"/>
        <v>315000</v>
      </c>
      <c r="I58" s="5">
        <f t="shared" si="2"/>
        <v>1800000</v>
      </c>
      <c r="J58" s="5">
        <f t="shared" si="3"/>
        <v>540000</v>
      </c>
      <c r="K58" s="10">
        <f t="shared" si="4"/>
        <v>0.3</v>
      </c>
      <c r="L58" s="5"/>
      <c r="M58" s="7" t="str">
        <f t="shared" si="0"/>
        <v>Nguyễn Văn An</v>
      </c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</row>
    <row r="59" spans="1:30" ht="15.75" customHeight="1" x14ac:dyDescent="0.3">
      <c r="A59" s="5" t="s">
        <v>97</v>
      </c>
      <c r="B59" s="5" t="s">
        <v>98</v>
      </c>
      <c r="C59" s="5" t="s">
        <v>13</v>
      </c>
      <c r="D59" s="5" t="s">
        <v>14</v>
      </c>
      <c r="E59" s="5" t="s">
        <v>216</v>
      </c>
      <c r="F59" s="5">
        <v>1</v>
      </c>
      <c r="G59" s="5">
        <v>450</v>
      </c>
      <c r="H59" s="5">
        <f t="shared" si="1"/>
        <v>315</v>
      </c>
      <c r="I59" s="5">
        <f t="shared" si="2"/>
        <v>450</v>
      </c>
      <c r="J59" s="5">
        <f t="shared" si="3"/>
        <v>135</v>
      </c>
      <c r="K59" s="10">
        <f t="shared" si="4"/>
        <v>0.3</v>
      </c>
      <c r="L59" s="5"/>
      <c r="M59" s="7" t="str">
        <f t="shared" si="0"/>
        <v>Trần Thị Bình</v>
      </c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</row>
    <row r="60" spans="1:30" ht="15.75" customHeight="1" x14ac:dyDescent="0.3">
      <c r="A60" s="5" t="s">
        <v>99</v>
      </c>
      <c r="B60" s="5" t="s">
        <v>100</v>
      </c>
      <c r="C60" s="5" t="s">
        <v>16</v>
      </c>
      <c r="D60" s="5" t="s">
        <v>17</v>
      </c>
      <c r="E60" s="5" t="s">
        <v>217</v>
      </c>
      <c r="F60" s="5">
        <v>1</v>
      </c>
      <c r="G60" s="5">
        <v>1800000</v>
      </c>
      <c r="H60" s="5">
        <f t="shared" si="1"/>
        <v>1260000</v>
      </c>
      <c r="I60" s="5">
        <f t="shared" si="2"/>
        <v>1800000</v>
      </c>
      <c r="J60" s="5">
        <f t="shared" si="3"/>
        <v>540000</v>
      </c>
      <c r="K60" s="10">
        <f t="shared" si="4"/>
        <v>0.3</v>
      </c>
      <c r="L60" s="5"/>
      <c r="M60" s="7" t="str">
        <f t="shared" si="0"/>
        <v>Lê Hoàng Nam</v>
      </c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</row>
    <row r="61" spans="1:30" ht="15.75" customHeight="1" x14ac:dyDescent="0.3">
      <c r="A61" s="5" t="s">
        <v>101</v>
      </c>
      <c r="B61" s="5" t="s">
        <v>102</v>
      </c>
      <c r="C61" s="5" t="s">
        <v>20</v>
      </c>
      <c r="D61" s="5"/>
      <c r="E61" s="5" t="s">
        <v>218</v>
      </c>
      <c r="F61" s="5">
        <v>1</v>
      </c>
      <c r="G61" s="5">
        <v>2200000</v>
      </c>
      <c r="H61" s="5">
        <f t="shared" si="1"/>
        <v>1540000</v>
      </c>
      <c r="I61" s="5">
        <f t="shared" si="2"/>
        <v>2200000</v>
      </c>
      <c r="J61" s="5">
        <f t="shared" si="3"/>
        <v>660000</v>
      </c>
      <c r="K61" s="10">
        <f t="shared" si="4"/>
        <v>0.3</v>
      </c>
      <c r="L61" s="5"/>
      <c r="M61" s="7" t="str">
        <f t="shared" si="0"/>
        <v>Phạm Quang Dũng</v>
      </c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</row>
    <row r="62" spans="1:30" ht="15.75" customHeight="1" x14ac:dyDescent="0.3">
      <c r="A62" s="5" t="s">
        <v>103</v>
      </c>
      <c r="B62" s="5" t="s">
        <v>102</v>
      </c>
      <c r="C62" s="5" t="s">
        <v>22</v>
      </c>
      <c r="D62" s="5" t="s">
        <v>14</v>
      </c>
      <c r="E62" s="5" t="s">
        <v>219</v>
      </c>
      <c r="F62" s="5">
        <v>2</v>
      </c>
      <c r="G62" s="5">
        <v>6500000</v>
      </c>
      <c r="H62" s="5">
        <f t="shared" si="1"/>
        <v>4550000</v>
      </c>
      <c r="I62" s="5">
        <f t="shared" si="2"/>
        <v>13000000</v>
      </c>
      <c r="J62" s="5">
        <f t="shared" si="3"/>
        <v>3900000</v>
      </c>
      <c r="K62" s="10">
        <f t="shared" si="4"/>
        <v>0.3</v>
      </c>
      <c r="L62" s="5" t="s">
        <v>23</v>
      </c>
      <c r="M62" s="7" t="str">
        <f t="shared" si="0"/>
        <v>Hoàng Thị Mai</v>
      </c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</row>
    <row r="63" spans="1:30" ht="15.75" customHeight="1" x14ac:dyDescent="0.3">
      <c r="A63" s="5" t="s">
        <v>104</v>
      </c>
      <c r="B63" s="5" t="s">
        <v>105</v>
      </c>
      <c r="C63" s="5" t="s">
        <v>9</v>
      </c>
      <c r="D63" s="5" t="s">
        <v>10</v>
      </c>
      <c r="E63" s="5" t="s">
        <v>220</v>
      </c>
      <c r="F63" s="5">
        <v>1</v>
      </c>
      <c r="G63" s="5">
        <v>2500000</v>
      </c>
      <c r="H63" s="5">
        <f t="shared" si="1"/>
        <v>1750000</v>
      </c>
      <c r="I63" s="5">
        <f t="shared" si="2"/>
        <v>2500000</v>
      </c>
      <c r="J63" s="5">
        <f t="shared" si="3"/>
        <v>750000</v>
      </c>
      <c r="K63" s="10">
        <f t="shared" si="4"/>
        <v>0.3</v>
      </c>
      <c r="L63" s="5"/>
      <c r="M63" s="7" t="str">
        <f t="shared" si="0"/>
        <v>Nguyễn Văn An</v>
      </c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</row>
    <row r="64" spans="1:30" ht="15.75" customHeight="1" x14ac:dyDescent="0.3">
      <c r="A64" s="5" t="s">
        <v>106</v>
      </c>
      <c r="B64" s="5" t="s">
        <v>107</v>
      </c>
      <c r="C64" s="5" t="s">
        <v>13</v>
      </c>
      <c r="D64" s="5" t="s">
        <v>14</v>
      </c>
      <c r="E64" s="5" t="s">
        <v>221</v>
      </c>
      <c r="F64" s="5">
        <v>1</v>
      </c>
      <c r="G64" s="5">
        <v>7500000</v>
      </c>
      <c r="H64" s="5">
        <f t="shared" si="1"/>
        <v>5250000</v>
      </c>
      <c r="I64" s="5">
        <f t="shared" si="2"/>
        <v>7500000</v>
      </c>
      <c r="J64" s="5">
        <f t="shared" si="3"/>
        <v>2250000</v>
      </c>
      <c r="K64" s="10">
        <f t="shared" si="4"/>
        <v>0.3</v>
      </c>
      <c r="L64" s="5"/>
      <c r="M64" s="7" t="str">
        <f t="shared" si="0"/>
        <v>Trần Thị Bình</v>
      </c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</row>
    <row r="65" spans="1:30" ht="15.75" customHeight="1" x14ac:dyDescent="0.3">
      <c r="A65" s="5" t="s">
        <v>108</v>
      </c>
      <c r="B65" s="5" t="s">
        <v>109</v>
      </c>
      <c r="C65" s="5" t="s">
        <v>16</v>
      </c>
      <c r="D65" s="5" t="s">
        <v>17</v>
      </c>
      <c r="E65" s="5" t="s">
        <v>65</v>
      </c>
      <c r="F65" s="5">
        <v>1</v>
      </c>
      <c r="G65" s="5">
        <v>2100000</v>
      </c>
      <c r="H65" s="5">
        <f t="shared" si="1"/>
        <v>1470000</v>
      </c>
      <c r="I65" s="5">
        <f t="shared" si="2"/>
        <v>2100000</v>
      </c>
      <c r="J65" s="5">
        <f t="shared" si="3"/>
        <v>630000</v>
      </c>
      <c r="K65" s="10">
        <f t="shared" si="4"/>
        <v>0.3</v>
      </c>
      <c r="L65" s="5"/>
      <c r="M65" s="7" t="str">
        <f t="shared" si="0"/>
        <v>Lê Hoàng Nam</v>
      </c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</row>
    <row r="66" spans="1:30" ht="15.75" customHeight="1" x14ac:dyDescent="0.3">
      <c r="A66" s="5" t="s">
        <v>110</v>
      </c>
      <c r="B66" s="5" t="s">
        <v>111</v>
      </c>
      <c r="C66" s="5" t="s">
        <v>20</v>
      </c>
      <c r="D66" s="5"/>
      <c r="E66" s="5" t="s">
        <v>222</v>
      </c>
      <c r="F66" s="5">
        <v>2</v>
      </c>
      <c r="G66" s="5">
        <v>450000</v>
      </c>
      <c r="H66" s="5">
        <f t="shared" si="1"/>
        <v>315000</v>
      </c>
      <c r="I66" s="5">
        <f t="shared" si="2"/>
        <v>900000</v>
      </c>
      <c r="J66" s="5">
        <f t="shared" si="3"/>
        <v>270000</v>
      </c>
      <c r="K66" s="10">
        <f t="shared" si="4"/>
        <v>0.3</v>
      </c>
      <c r="L66" s="5"/>
      <c r="M66" s="7" t="str">
        <f t="shared" si="0"/>
        <v>Phạm Quang Dũng</v>
      </c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</row>
    <row r="67" spans="1:30" ht="15.75" customHeight="1" x14ac:dyDescent="0.3">
      <c r="A67" s="5" t="s">
        <v>112</v>
      </c>
      <c r="B67" s="5" t="s">
        <v>113</v>
      </c>
      <c r="C67" s="5" t="s">
        <v>22</v>
      </c>
      <c r="D67" s="5" t="s">
        <v>14</v>
      </c>
      <c r="E67" s="5" t="s">
        <v>216</v>
      </c>
      <c r="F67" s="5">
        <v>1</v>
      </c>
      <c r="G67" s="5">
        <v>25000000</v>
      </c>
      <c r="H67" s="5">
        <f t="shared" ref="H67:H130" si="5">G67*0.7</f>
        <v>17500000</v>
      </c>
      <c r="I67" s="5">
        <f t="shared" ref="I67:I130" si="6">F67*G67</f>
        <v>25000000</v>
      </c>
      <c r="J67" s="5">
        <f t="shared" ref="J67:J130" si="7">I67-(F67*H67)</f>
        <v>7500000</v>
      </c>
      <c r="K67" s="10">
        <f t="shared" ref="K67:K130" si="8">J67/I67</f>
        <v>0.3</v>
      </c>
      <c r="L67" s="5"/>
      <c r="M67" s="7" t="str">
        <f t="shared" si="0"/>
        <v>Hoàng Thị Mai</v>
      </c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</row>
    <row r="68" spans="1:30" ht="15.75" customHeight="1" x14ac:dyDescent="0.3">
      <c r="A68" s="5" t="s">
        <v>114</v>
      </c>
      <c r="B68" s="6">
        <v>44929</v>
      </c>
      <c r="C68" s="5" t="s">
        <v>9</v>
      </c>
      <c r="D68" s="5" t="s">
        <v>10</v>
      </c>
      <c r="E68" s="5" t="s">
        <v>217</v>
      </c>
      <c r="F68" s="5">
        <v>2</v>
      </c>
      <c r="G68" s="5">
        <v>1800000</v>
      </c>
      <c r="H68" s="5">
        <f t="shared" si="5"/>
        <v>1260000</v>
      </c>
      <c r="I68" s="5">
        <f t="shared" si="6"/>
        <v>3600000</v>
      </c>
      <c r="J68" s="5">
        <f t="shared" si="7"/>
        <v>1080000</v>
      </c>
      <c r="K68" s="10">
        <f t="shared" si="8"/>
        <v>0.3</v>
      </c>
      <c r="L68" s="5"/>
      <c r="M68" s="7" t="str">
        <f t="shared" si="0"/>
        <v>Nguyễn Văn An</v>
      </c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</row>
    <row r="69" spans="1:30" ht="15.75" customHeight="1" x14ac:dyDescent="0.3">
      <c r="A69" s="5" t="s">
        <v>115</v>
      </c>
      <c r="B69" s="6">
        <v>44960</v>
      </c>
      <c r="C69" s="5" t="s">
        <v>13</v>
      </c>
      <c r="D69" s="5" t="s">
        <v>14</v>
      </c>
      <c r="E69" s="5" t="s">
        <v>218</v>
      </c>
      <c r="F69" s="5">
        <v>1</v>
      </c>
      <c r="G69" s="5">
        <v>2200000</v>
      </c>
      <c r="H69" s="5">
        <f t="shared" si="5"/>
        <v>1540000</v>
      </c>
      <c r="I69" s="5">
        <f t="shared" si="6"/>
        <v>2200000</v>
      </c>
      <c r="J69" s="5">
        <f t="shared" si="7"/>
        <v>660000</v>
      </c>
      <c r="K69" s="10">
        <f t="shared" si="8"/>
        <v>0.3</v>
      </c>
      <c r="L69" s="5"/>
      <c r="M69" s="7" t="str">
        <f t="shared" si="0"/>
        <v>Trần Thị Bình</v>
      </c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</row>
    <row r="70" spans="1:30" ht="15.75" customHeight="1" x14ac:dyDescent="0.3">
      <c r="A70" s="5" t="s">
        <v>116</v>
      </c>
      <c r="B70" s="6">
        <v>44960</v>
      </c>
      <c r="C70" s="5" t="s">
        <v>16</v>
      </c>
      <c r="D70" s="5" t="s">
        <v>17</v>
      </c>
      <c r="E70" s="5" t="s">
        <v>219</v>
      </c>
      <c r="F70" s="5">
        <v>1</v>
      </c>
      <c r="G70" s="5">
        <v>6500000</v>
      </c>
      <c r="H70" s="5">
        <f t="shared" si="5"/>
        <v>4550000</v>
      </c>
      <c r="I70" s="5">
        <f t="shared" si="6"/>
        <v>6500000</v>
      </c>
      <c r="J70" s="5">
        <f t="shared" si="7"/>
        <v>1950000</v>
      </c>
      <c r="K70" s="10">
        <f t="shared" si="8"/>
        <v>0.3</v>
      </c>
      <c r="L70" s="5"/>
      <c r="M70" s="7" t="str">
        <f t="shared" si="0"/>
        <v>Lê Hoàng Nam</v>
      </c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</row>
    <row r="71" spans="1:30" ht="15.75" customHeight="1" x14ac:dyDescent="0.3">
      <c r="A71" s="5" t="s">
        <v>117</v>
      </c>
      <c r="B71" s="6">
        <v>44988</v>
      </c>
      <c r="C71" s="5" t="s">
        <v>20</v>
      </c>
      <c r="D71" s="5"/>
      <c r="E71" s="5" t="s">
        <v>220</v>
      </c>
      <c r="F71" s="5">
        <v>3</v>
      </c>
      <c r="G71" s="5">
        <v>2500000</v>
      </c>
      <c r="H71" s="5">
        <f t="shared" si="5"/>
        <v>1750000</v>
      </c>
      <c r="I71" s="5">
        <f t="shared" si="6"/>
        <v>7500000</v>
      </c>
      <c r="J71" s="5">
        <f t="shared" si="7"/>
        <v>2250000</v>
      </c>
      <c r="K71" s="10">
        <f t="shared" si="8"/>
        <v>0.3</v>
      </c>
      <c r="L71" s="5"/>
      <c r="M71" s="7" t="str">
        <f t="shared" si="0"/>
        <v>Phạm Quang Dũng</v>
      </c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</row>
    <row r="72" spans="1:30" ht="15.75" customHeight="1" x14ac:dyDescent="0.3">
      <c r="A72" s="5" t="s">
        <v>118</v>
      </c>
      <c r="B72" s="6">
        <v>45019</v>
      </c>
      <c r="C72" s="5" t="s">
        <v>22</v>
      </c>
      <c r="D72" s="5" t="s">
        <v>14</v>
      </c>
      <c r="E72" s="5" t="s">
        <v>221</v>
      </c>
      <c r="F72" s="5">
        <v>1</v>
      </c>
      <c r="G72" s="5">
        <v>7500000</v>
      </c>
      <c r="H72" s="5">
        <f t="shared" si="5"/>
        <v>5250000</v>
      </c>
      <c r="I72" s="5">
        <f t="shared" si="6"/>
        <v>7500000</v>
      </c>
      <c r="J72" s="5">
        <f t="shared" si="7"/>
        <v>2250000</v>
      </c>
      <c r="K72" s="10">
        <f t="shared" si="8"/>
        <v>0.3</v>
      </c>
      <c r="L72" s="5"/>
      <c r="M72" s="7" t="str">
        <f t="shared" si="0"/>
        <v>Hoàng Thị Mai</v>
      </c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</row>
    <row r="73" spans="1:30" ht="15.75" customHeight="1" x14ac:dyDescent="0.3">
      <c r="A73" s="5" t="s">
        <v>119</v>
      </c>
      <c r="B73" s="6">
        <v>45049</v>
      </c>
      <c r="C73" s="5" t="s">
        <v>9</v>
      </c>
      <c r="D73" s="5" t="s">
        <v>10</v>
      </c>
      <c r="E73" s="5" t="s">
        <v>65</v>
      </c>
      <c r="F73" s="5">
        <v>1</v>
      </c>
      <c r="G73" s="5">
        <v>2100000</v>
      </c>
      <c r="H73" s="5">
        <f t="shared" si="5"/>
        <v>1470000</v>
      </c>
      <c r="I73" s="5">
        <f t="shared" si="6"/>
        <v>2100000</v>
      </c>
      <c r="J73" s="5">
        <f t="shared" si="7"/>
        <v>630000</v>
      </c>
      <c r="K73" s="10">
        <f t="shared" si="8"/>
        <v>0.3</v>
      </c>
      <c r="L73" s="5"/>
      <c r="M73" s="7" t="str">
        <f t="shared" si="0"/>
        <v>Nguyễn Văn An</v>
      </c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</row>
    <row r="74" spans="1:30" ht="15.75" customHeight="1" x14ac:dyDescent="0.3">
      <c r="A74" s="5" t="s">
        <v>120</v>
      </c>
      <c r="B74" s="6">
        <v>45049</v>
      </c>
      <c r="C74" s="5" t="s">
        <v>13</v>
      </c>
      <c r="D74" s="5" t="s">
        <v>14</v>
      </c>
      <c r="E74" s="5" t="s">
        <v>222</v>
      </c>
      <c r="F74" s="5">
        <v>3</v>
      </c>
      <c r="G74" s="5">
        <v>450000</v>
      </c>
      <c r="H74" s="5">
        <f t="shared" si="5"/>
        <v>315000</v>
      </c>
      <c r="I74" s="5">
        <f t="shared" si="6"/>
        <v>1350000</v>
      </c>
      <c r="J74" s="5">
        <f t="shared" si="7"/>
        <v>405000</v>
      </c>
      <c r="K74" s="10">
        <f t="shared" si="8"/>
        <v>0.3</v>
      </c>
      <c r="L74" s="5"/>
      <c r="M74" s="7" t="str">
        <f t="shared" si="0"/>
        <v>Trần Thị Bình</v>
      </c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</row>
    <row r="75" spans="1:30" ht="15.75" customHeight="1" x14ac:dyDescent="0.3">
      <c r="A75" s="5" t="s">
        <v>121</v>
      </c>
      <c r="B75" s="6">
        <v>45080</v>
      </c>
      <c r="C75" s="5" t="s">
        <v>16</v>
      </c>
      <c r="D75" s="5" t="s">
        <v>17</v>
      </c>
      <c r="E75" s="5" t="s">
        <v>216</v>
      </c>
      <c r="F75" s="5">
        <v>1</v>
      </c>
      <c r="G75" s="5">
        <v>25000000</v>
      </c>
      <c r="H75" s="5">
        <f t="shared" si="5"/>
        <v>17500000</v>
      </c>
      <c r="I75" s="5">
        <f t="shared" si="6"/>
        <v>25000000</v>
      </c>
      <c r="J75" s="5">
        <f t="shared" si="7"/>
        <v>7500000</v>
      </c>
      <c r="K75" s="10">
        <f t="shared" si="8"/>
        <v>0.3</v>
      </c>
      <c r="L75" s="5" t="s">
        <v>18</v>
      </c>
      <c r="M75" s="7" t="str">
        <f t="shared" si="0"/>
        <v>Lê Hoàng Nam</v>
      </c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</row>
    <row r="76" spans="1:30" ht="15.75" customHeight="1" x14ac:dyDescent="0.3">
      <c r="A76" s="5" t="s">
        <v>122</v>
      </c>
      <c r="B76" s="6">
        <v>45110</v>
      </c>
      <c r="C76" s="5" t="s">
        <v>20</v>
      </c>
      <c r="D76" s="5"/>
      <c r="E76" s="5" t="s">
        <v>217</v>
      </c>
      <c r="F76" s="5"/>
      <c r="G76" s="5">
        <v>1800000</v>
      </c>
      <c r="H76" s="5">
        <f t="shared" si="5"/>
        <v>1260000</v>
      </c>
      <c r="I76" s="5">
        <f t="shared" si="6"/>
        <v>0</v>
      </c>
      <c r="J76" s="5">
        <f t="shared" si="7"/>
        <v>0</v>
      </c>
      <c r="K76" s="10" t="e">
        <f t="shared" si="8"/>
        <v>#DIV/0!</v>
      </c>
      <c r="L76" s="5"/>
      <c r="M76" s="7" t="str">
        <f t="shared" si="0"/>
        <v>Phạm Quang Dũng</v>
      </c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</row>
    <row r="77" spans="1:30" ht="15.75" customHeight="1" x14ac:dyDescent="0.3">
      <c r="A77" s="5" t="s">
        <v>123</v>
      </c>
      <c r="B77" s="6">
        <v>45141</v>
      </c>
      <c r="C77" s="5" t="s">
        <v>22</v>
      </c>
      <c r="D77" s="5" t="s">
        <v>14</v>
      </c>
      <c r="E77" s="5" t="s">
        <v>218</v>
      </c>
      <c r="F77" s="5">
        <v>2</v>
      </c>
      <c r="G77" s="5">
        <v>2200000</v>
      </c>
      <c r="H77" s="5">
        <f t="shared" si="5"/>
        <v>1540000</v>
      </c>
      <c r="I77" s="5">
        <f t="shared" si="6"/>
        <v>4400000</v>
      </c>
      <c r="J77" s="5">
        <f t="shared" si="7"/>
        <v>1320000</v>
      </c>
      <c r="K77" s="10">
        <f t="shared" si="8"/>
        <v>0.3</v>
      </c>
      <c r="L77" s="5"/>
      <c r="M77" s="7" t="str">
        <f t="shared" si="0"/>
        <v>Hoàng Thị Mai</v>
      </c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</row>
    <row r="78" spans="1:30" ht="15.75" customHeight="1" x14ac:dyDescent="0.3">
      <c r="A78" s="5" t="s">
        <v>124</v>
      </c>
      <c r="B78" s="6">
        <v>45141</v>
      </c>
      <c r="C78" s="5" t="s">
        <v>9</v>
      </c>
      <c r="D78" s="5" t="s">
        <v>10</v>
      </c>
      <c r="E78" s="5" t="s">
        <v>219</v>
      </c>
      <c r="F78" s="5">
        <v>1</v>
      </c>
      <c r="G78" s="5">
        <v>6500000</v>
      </c>
      <c r="H78" s="5">
        <f t="shared" si="5"/>
        <v>4550000</v>
      </c>
      <c r="I78" s="5">
        <f t="shared" si="6"/>
        <v>6500000</v>
      </c>
      <c r="J78" s="5">
        <f t="shared" si="7"/>
        <v>1950000</v>
      </c>
      <c r="K78" s="10">
        <f t="shared" si="8"/>
        <v>0.3</v>
      </c>
      <c r="L78" s="5"/>
      <c r="M78" s="7" t="str">
        <f t="shared" si="0"/>
        <v>Nguyễn Văn An</v>
      </c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</row>
    <row r="79" spans="1:30" ht="15.75" customHeight="1" x14ac:dyDescent="0.3">
      <c r="A79" s="5" t="s">
        <v>125</v>
      </c>
      <c r="B79" s="6">
        <v>45172</v>
      </c>
      <c r="C79" s="5" t="s">
        <v>13</v>
      </c>
      <c r="D79" s="5" t="s">
        <v>14</v>
      </c>
      <c r="E79" s="5" t="s">
        <v>220</v>
      </c>
      <c r="F79" s="5">
        <v>1</v>
      </c>
      <c r="G79" s="5">
        <v>2500000</v>
      </c>
      <c r="H79" s="5">
        <f t="shared" si="5"/>
        <v>1750000</v>
      </c>
      <c r="I79" s="5">
        <f t="shared" si="6"/>
        <v>2500000</v>
      </c>
      <c r="J79" s="5">
        <f t="shared" si="7"/>
        <v>750000</v>
      </c>
      <c r="K79" s="10">
        <f t="shared" si="8"/>
        <v>0.3</v>
      </c>
      <c r="L79" s="5" t="s">
        <v>35</v>
      </c>
      <c r="M79" s="7" t="str">
        <f t="shared" si="0"/>
        <v>Trần Thị Bình</v>
      </c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</row>
    <row r="80" spans="1:30" ht="15.75" customHeight="1" x14ac:dyDescent="0.3">
      <c r="A80" s="5" t="s">
        <v>126</v>
      </c>
      <c r="B80" s="6">
        <v>45202</v>
      </c>
      <c r="C80" s="5" t="s">
        <v>16</v>
      </c>
      <c r="D80" s="5" t="s">
        <v>17</v>
      </c>
      <c r="E80" s="5" t="s">
        <v>221</v>
      </c>
      <c r="F80" s="5">
        <v>1</v>
      </c>
      <c r="G80" s="5">
        <v>7500000</v>
      </c>
      <c r="H80" s="5">
        <f t="shared" si="5"/>
        <v>5250000</v>
      </c>
      <c r="I80" s="5">
        <f t="shared" si="6"/>
        <v>7500000</v>
      </c>
      <c r="J80" s="5">
        <f t="shared" si="7"/>
        <v>2250000</v>
      </c>
      <c r="K80" s="10">
        <f t="shared" si="8"/>
        <v>0.3</v>
      </c>
      <c r="L80" s="5"/>
      <c r="M80" s="7" t="str">
        <f t="shared" si="0"/>
        <v>Lê Hoàng Nam</v>
      </c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</row>
    <row r="81" spans="1:30" ht="15.75" customHeight="1" x14ac:dyDescent="0.3">
      <c r="A81" s="5" t="s">
        <v>127</v>
      </c>
      <c r="B81" s="6">
        <v>45233</v>
      </c>
      <c r="C81" s="5" t="s">
        <v>20</v>
      </c>
      <c r="D81" s="5"/>
      <c r="E81" s="5" t="s">
        <v>65</v>
      </c>
      <c r="F81" s="5">
        <v>2</v>
      </c>
      <c r="G81" s="5">
        <v>2100000</v>
      </c>
      <c r="H81" s="5">
        <f t="shared" si="5"/>
        <v>1470000</v>
      </c>
      <c r="I81" s="5">
        <f t="shared" si="6"/>
        <v>4200000</v>
      </c>
      <c r="J81" s="5">
        <f t="shared" si="7"/>
        <v>1260000</v>
      </c>
      <c r="K81" s="10">
        <f t="shared" si="8"/>
        <v>0.3</v>
      </c>
      <c r="L81" s="5"/>
      <c r="M81" s="7" t="str">
        <f t="shared" si="0"/>
        <v>Phạm Quang Dũng</v>
      </c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</row>
    <row r="82" spans="1:30" ht="15.75" customHeight="1" x14ac:dyDescent="0.3">
      <c r="A82" s="5" t="s">
        <v>128</v>
      </c>
      <c r="B82" s="6">
        <v>45233</v>
      </c>
      <c r="C82" s="5" t="s">
        <v>22</v>
      </c>
      <c r="D82" s="5" t="s">
        <v>14</v>
      </c>
      <c r="E82" s="5" t="s">
        <v>216</v>
      </c>
      <c r="F82" s="5">
        <v>1</v>
      </c>
      <c r="G82" s="5">
        <v>7500000</v>
      </c>
      <c r="H82" s="5">
        <f t="shared" si="5"/>
        <v>5250000</v>
      </c>
      <c r="I82" s="5">
        <f t="shared" si="6"/>
        <v>7500000</v>
      </c>
      <c r="J82" s="5">
        <f t="shared" si="7"/>
        <v>2250000</v>
      </c>
      <c r="K82" s="10">
        <f t="shared" si="8"/>
        <v>0.3</v>
      </c>
      <c r="L82" s="5"/>
      <c r="M82" s="7" t="str">
        <f t="shared" si="0"/>
        <v>Hoàng Thị Mai</v>
      </c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</row>
    <row r="83" spans="1:30" ht="15.75" customHeight="1" x14ac:dyDescent="0.3">
      <c r="A83" s="5" t="s">
        <v>129</v>
      </c>
      <c r="B83" s="6">
        <v>45263</v>
      </c>
      <c r="C83" s="5" t="s">
        <v>9</v>
      </c>
      <c r="D83" s="5" t="s">
        <v>10</v>
      </c>
      <c r="E83" s="5" t="s">
        <v>216</v>
      </c>
      <c r="F83" s="5">
        <v>1</v>
      </c>
      <c r="G83" s="5">
        <v>25000000</v>
      </c>
      <c r="H83" s="5">
        <f t="shared" si="5"/>
        <v>17500000</v>
      </c>
      <c r="I83" s="5">
        <f t="shared" si="6"/>
        <v>25000000</v>
      </c>
      <c r="J83" s="5">
        <f t="shared" si="7"/>
        <v>7500000</v>
      </c>
      <c r="K83" s="10">
        <f t="shared" si="8"/>
        <v>0.3</v>
      </c>
      <c r="L83" s="5"/>
      <c r="M83" s="7" t="str">
        <f t="shared" si="0"/>
        <v>Nguyễn Văn An</v>
      </c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</row>
    <row r="84" spans="1:30" ht="15.75" customHeight="1" x14ac:dyDescent="0.3">
      <c r="A84" s="5" t="s">
        <v>130</v>
      </c>
      <c r="B84" s="5" t="s">
        <v>131</v>
      </c>
      <c r="C84" s="5" t="s">
        <v>13</v>
      </c>
      <c r="D84" s="5" t="s">
        <v>14</v>
      </c>
      <c r="E84" s="5" t="s">
        <v>217</v>
      </c>
      <c r="F84" s="5">
        <v>1</v>
      </c>
      <c r="G84" s="5">
        <v>1800000</v>
      </c>
      <c r="H84" s="5">
        <f t="shared" si="5"/>
        <v>1260000</v>
      </c>
      <c r="I84" s="5">
        <f t="shared" si="6"/>
        <v>1800000</v>
      </c>
      <c r="J84" s="5">
        <f t="shared" si="7"/>
        <v>540000</v>
      </c>
      <c r="K84" s="10">
        <f t="shared" si="8"/>
        <v>0.3</v>
      </c>
      <c r="L84" s="5"/>
      <c r="M84" s="7" t="str">
        <f t="shared" si="0"/>
        <v>Trần Thị Bình</v>
      </c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</row>
    <row r="85" spans="1:30" ht="15.75" customHeight="1" x14ac:dyDescent="0.3">
      <c r="A85" s="5" t="s">
        <v>132</v>
      </c>
      <c r="B85" s="5" t="s">
        <v>133</v>
      </c>
      <c r="C85" s="5" t="s">
        <v>16</v>
      </c>
      <c r="D85" s="5" t="s">
        <v>17</v>
      </c>
      <c r="E85" s="5" t="s">
        <v>218</v>
      </c>
      <c r="F85" s="5">
        <v>1</v>
      </c>
      <c r="G85" s="5">
        <v>2200000</v>
      </c>
      <c r="H85" s="5">
        <f t="shared" si="5"/>
        <v>1540000</v>
      </c>
      <c r="I85" s="5">
        <f t="shared" si="6"/>
        <v>2200000</v>
      </c>
      <c r="J85" s="5">
        <f t="shared" si="7"/>
        <v>660000</v>
      </c>
      <c r="K85" s="10">
        <f t="shared" si="8"/>
        <v>0.3</v>
      </c>
      <c r="L85" s="5"/>
      <c r="M85" s="7" t="str">
        <f t="shared" si="0"/>
        <v>Lê Hoàng Nam</v>
      </c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</row>
    <row r="86" spans="1:30" ht="15.75" customHeight="1" x14ac:dyDescent="0.3">
      <c r="A86" s="5" t="s">
        <v>134</v>
      </c>
      <c r="B86" s="5" t="s">
        <v>135</v>
      </c>
      <c r="C86" s="5" t="s">
        <v>20</v>
      </c>
      <c r="D86" s="5"/>
      <c r="E86" s="5" t="s">
        <v>219</v>
      </c>
      <c r="F86" s="5">
        <v>1</v>
      </c>
      <c r="G86" s="5">
        <v>6500000</v>
      </c>
      <c r="H86" s="5">
        <f t="shared" si="5"/>
        <v>4550000</v>
      </c>
      <c r="I86" s="5">
        <f t="shared" si="6"/>
        <v>6500000</v>
      </c>
      <c r="J86" s="5">
        <f t="shared" si="7"/>
        <v>1950000</v>
      </c>
      <c r="K86" s="10">
        <f t="shared" si="8"/>
        <v>0.3</v>
      </c>
      <c r="L86" s="5"/>
      <c r="M86" s="7" t="str">
        <f t="shared" si="0"/>
        <v>Phạm Quang Dũng</v>
      </c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</row>
    <row r="87" spans="1:30" ht="15.75" customHeight="1" x14ac:dyDescent="0.3">
      <c r="A87" s="5" t="s">
        <v>136</v>
      </c>
      <c r="B87" s="5" t="s">
        <v>135</v>
      </c>
      <c r="C87" s="5" t="s">
        <v>22</v>
      </c>
      <c r="D87" s="5" t="s">
        <v>14</v>
      </c>
      <c r="E87" s="5" t="s">
        <v>220</v>
      </c>
      <c r="F87" s="5">
        <v>5</v>
      </c>
      <c r="G87" s="5">
        <v>2500000</v>
      </c>
      <c r="H87" s="5">
        <f t="shared" si="5"/>
        <v>1750000</v>
      </c>
      <c r="I87" s="5">
        <f t="shared" si="6"/>
        <v>12500000</v>
      </c>
      <c r="J87" s="5">
        <f t="shared" si="7"/>
        <v>3750000</v>
      </c>
      <c r="K87" s="10">
        <f t="shared" si="8"/>
        <v>0.3</v>
      </c>
      <c r="L87" s="5" t="s">
        <v>23</v>
      </c>
      <c r="M87" s="7" t="str">
        <f t="shared" si="0"/>
        <v>Hoàng Thị Mai</v>
      </c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</row>
    <row r="88" spans="1:30" ht="15.75" customHeight="1" x14ac:dyDescent="0.3">
      <c r="A88" s="5" t="s">
        <v>136</v>
      </c>
      <c r="B88" s="5" t="s">
        <v>135</v>
      </c>
      <c r="C88" s="5" t="s">
        <v>22</v>
      </c>
      <c r="D88" s="5" t="s">
        <v>14</v>
      </c>
      <c r="E88" s="5" t="s">
        <v>220</v>
      </c>
      <c r="F88" s="5">
        <v>5</v>
      </c>
      <c r="G88" s="5">
        <v>2500000</v>
      </c>
      <c r="H88" s="5">
        <f t="shared" si="5"/>
        <v>1750000</v>
      </c>
      <c r="I88" s="5">
        <f t="shared" si="6"/>
        <v>12500000</v>
      </c>
      <c r="J88" s="5">
        <f t="shared" si="7"/>
        <v>3750000</v>
      </c>
      <c r="K88" s="10">
        <f t="shared" si="8"/>
        <v>0.3</v>
      </c>
      <c r="L88" s="5" t="s">
        <v>23</v>
      </c>
      <c r="M88" s="7" t="str">
        <f t="shared" si="0"/>
        <v>Hoàng Thị Mai</v>
      </c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</row>
    <row r="89" spans="1:30" ht="15.75" customHeight="1" x14ac:dyDescent="0.3">
      <c r="A89" s="5" t="s">
        <v>137</v>
      </c>
      <c r="B89" s="5" t="s">
        <v>138</v>
      </c>
      <c r="C89" s="5" t="s">
        <v>9</v>
      </c>
      <c r="D89" s="5" t="s">
        <v>10</v>
      </c>
      <c r="E89" s="5" t="s">
        <v>221</v>
      </c>
      <c r="F89" s="5">
        <v>1</v>
      </c>
      <c r="G89" s="5">
        <v>7500000</v>
      </c>
      <c r="H89" s="5">
        <f t="shared" si="5"/>
        <v>5250000</v>
      </c>
      <c r="I89" s="5">
        <f t="shared" si="6"/>
        <v>7500000</v>
      </c>
      <c r="J89" s="5">
        <f t="shared" si="7"/>
        <v>2250000</v>
      </c>
      <c r="K89" s="10">
        <f t="shared" si="8"/>
        <v>0.3</v>
      </c>
      <c r="L89" s="5"/>
      <c r="M89" s="7" t="str">
        <f t="shared" si="0"/>
        <v>Nguyễn Văn An</v>
      </c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</row>
    <row r="90" spans="1:30" ht="15.75" customHeight="1" x14ac:dyDescent="0.3">
      <c r="A90" s="5" t="s">
        <v>139</v>
      </c>
      <c r="B90" s="5" t="s">
        <v>140</v>
      </c>
      <c r="C90" s="5" t="s">
        <v>13</v>
      </c>
      <c r="D90" s="5" t="s">
        <v>14</v>
      </c>
      <c r="E90" s="5" t="s">
        <v>65</v>
      </c>
      <c r="F90" s="5">
        <v>1</v>
      </c>
      <c r="G90" s="5">
        <v>2100000</v>
      </c>
      <c r="H90" s="5">
        <f t="shared" si="5"/>
        <v>1470000</v>
      </c>
      <c r="I90" s="5">
        <f t="shared" si="6"/>
        <v>2100000</v>
      </c>
      <c r="J90" s="5">
        <f t="shared" si="7"/>
        <v>630000</v>
      </c>
      <c r="K90" s="10">
        <f t="shared" si="8"/>
        <v>0.3</v>
      </c>
      <c r="L90" s="5"/>
      <c r="M90" s="7" t="str">
        <f t="shared" si="0"/>
        <v>Trần Thị Bình</v>
      </c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</row>
    <row r="91" spans="1:30" ht="15.75" customHeight="1" x14ac:dyDescent="0.3">
      <c r="A91" s="5" t="s">
        <v>141</v>
      </c>
      <c r="B91" s="5" t="s">
        <v>142</v>
      </c>
      <c r="C91" s="5" t="s">
        <v>16</v>
      </c>
      <c r="D91" s="5" t="s">
        <v>17</v>
      </c>
      <c r="E91" s="5" t="s">
        <v>222</v>
      </c>
      <c r="F91" s="5">
        <v>2</v>
      </c>
      <c r="G91" s="5">
        <v>450000</v>
      </c>
      <c r="H91" s="5">
        <f t="shared" si="5"/>
        <v>315000</v>
      </c>
      <c r="I91" s="5">
        <f t="shared" si="6"/>
        <v>900000</v>
      </c>
      <c r="J91" s="5">
        <f t="shared" si="7"/>
        <v>270000</v>
      </c>
      <c r="K91" s="10">
        <f t="shared" si="8"/>
        <v>0.3</v>
      </c>
      <c r="L91" s="5"/>
      <c r="M91" s="7" t="str">
        <f t="shared" si="0"/>
        <v>Lê Hoàng Nam</v>
      </c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</row>
    <row r="92" spans="1:30" ht="15.75" customHeight="1" x14ac:dyDescent="0.3">
      <c r="A92" s="5" t="s">
        <v>143</v>
      </c>
      <c r="B92" s="5" t="s">
        <v>142</v>
      </c>
      <c r="C92" s="5" t="s">
        <v>20</v>
      </c>
      <c r="D92" s="5"/>
      <c r="E92" s="5" t="s">
        <v>216</v>
      </c>
      <c r="F92" s="5">
        <v>1</v>
      </c>
      <c r="G92" s="5">
        <v>25000000</v>
      </c>
      <c r="H92" s="5">
        <f t="shared" si="5"/>
        <v>17500000</v>
      </c>
      <c r="I92" s="5">
        <f t="shared" si="6"/>
        <v>25000000</v>
      </c>
      <c r="J92" s="5">
        <f t="shared" si="7"/>
        <v>7500000</v>
      </c>
      <c r="K92" s="10">
        <f t="shared" si="8"/>
        <v>0.3</v>
      </c>
      <c r="L92" s="5"/>
      <c r="M92" s="7" t="str">
        <f t="shared" si="0"/>
        <v>Phạm Quang Dũng</v>
      </c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</row>
    <row r="93" spans="1:30" ht="15.75" customHeight="1" x14ac:dyDescent="0.3">
      <c r="A93" s="5" t="s">
        <v>144</v>
      </c>
      <c r="B93" s="5" t="s">
        <v>145</v>
      </c>
      <c r="C93" s="5" t="s">
        <v>22</v>
      </c>
      <c r="D93" s="5" t="s">
        <v>14</v>
      </c>
      <c r="E93" s="5" t="s">
        <v>217</v>
      </c>
      <c r="F93" s="5">
        <v>2</v>
      </c>
      <c r="G93" s="5">
        <v>1800000</v>
      </c>
      <c r="H93" s="5">
        <f t="shared" si="5"/>
        <v>1260000</v>
      </c>
      <c r="I93" s="5">
        <f t="shared" si="6"/>
        <v>3600000</v>
      </c>
      <c r="J93" s="5">
        <f t="shared" si="7"/>
        <v>1080000</v>
      </c>
      <c r="K93" s="10">
        <f t="shared" si="8"/>
        <v>0.3</v>
      </c>
      <c r="L93" s="5"/>
      <c r="M93" s="7" t="str">
        <f t="shared" si="0"/>
        <v>Hoàng Thị Mai</v>
      </c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</row>
    <row r="94" spans="1:30" ht="15.75" customHeight="1" x14ac:dyDescent="0.3">
      <c r="A94" s="5" t="s">
        <v>146</v>
      </c>
      <c r="B94" s="5" t="s">
        <v>147</v>
      </c>
      <c r="C94" s="5" t="s">
        <v>9</v>
      </c>
      <c r="D94" s="5" t="s">
        <v>10</v>
      </c>
      <c r="E94" s="5" t="s">
        <v>218</v>
      </c>
      <c r="F94" s="5">
        <v>1</v>
      </c>
      <c r="G94" s="5">
        <v>2200000</v>
      </c>
      <c r="H94" s="5">
        <f t="shared" si="5"/>
        <v>1540000</v>
      </c>
      <c r="I94" s="5">
        <f t="shared" si="6"/>
        <v>2200000</v>
      </c>
      <c r="J94" s="5">
        <f t="shared" si="7"/>
        <v>660000</v>
      </c>
      <c r="K94" s="10">
        <f t="shared" si="8"/>
        <v>0.3</v>
      </c>
      <c r="L94" s="5"/>
      <c r="M94" s="7" t="str">
        <f t="shared" si="0"/>
        <v>Nguyễn Văn An</v>
      </c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</row>
    <row r="95" spans="1:30" ht="15.75" customHeight="1" x14ac:dyDescent="0.3">
      <c r="A95" s="5" t="s">
        <v>148</v>
      </c>
      <c r="B95" s="5" t="s">
        <v>149</v>
      </c>
      <c r="C95" s="5" t="s">
        <v>13</v>
      </c>
      <c r="D95" s="5" t="s">
        <v>14</v>
      </c>
      <c r="E95" s="5" t="s">
        <v>219</v>
      </c>
      <c r="F95" s="5">
        <v>1</v>
      </c>
      <c r="G95" s="5">
        <v>6500000</v>
      </c>
      <c r="H95" s="5">
        <f t="shared" si="5"/>
        <v>4550000</v>
      </c>
      <c r="I95" s="5">
        <f t="shared" si="6"/>
        <v>6500000</v>
      </c>
      <c r="J95" s="5">
        <f t="shared" si="7"/>
        <v>1950000</v>
      </c>
      <c r="K95" s="10">
        <f t="shared" si="8"/>
        <v>0.3</v>
      </c>
      <c r="L95" s="5"/>
      <c r="M95" s="7" t="str">
        <f t="shared" si="0"/>
        <v>Trần Thị Bình</v>
      </c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</row>
    <row r="96" spans="1:30" ht="15.75" customHeight="1" x14ac:dyDescent="0.3">
      <c r="A96" s="5" t="s">
        <v>150</v>
      </c>
      <c r="B96" s="5" t="s">
        <v>151</v>
      </c>
      <c r="C96" s="5" t="s">
        <v>16</v>
      </c>
      <c r="D96" s="5" t="s">
        <v>17</v>
      </c>
      <c r="E96" s="5" t="s">
        <v>220</v>
      </c>
      <c r="F96" s="5">
        <v>1</v>
      </c>
      <c r="G96" s="5">
        <v>2500000</v>
      </c>
      <c r="H96" s="5">
        <f t="shared" si="5"/>
        <v>1750000</v>
      </c>
      <c r="I96" s="5">
        <f t="shared" si="6"/>
        <v>2500000</v>
      </c>
      <c r="J96" s="5">
        <f t="shared" si="7"/>
        <v>750000</v>
      </c>
      <c r="K96" s="10">
        <f t="shared" si="8"/>
        <v>0.3</v>
      </c>
      <c r="L96" s="5"/>
      <c r="M96" s="7" t="str">
        <f t="shared" si="0"/>
        <v>Lê Hoàng Nam</v>
      </c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</row>
    <row r="97" spans="1:30" ht="15.75" customHeight="1" x14ac:dyDescent="0.3">
      <c r="A97" s="5" t="s">
        <v>152</v>
      </c>
      <c r="B97" s="5" t="s">
        <v>153</v>
      </c>
      <c r="C97" s="5" t="s">
        <v>20</v>
      </c>
      <c r="D97" s="5"/>
      <c r="E97" s="5" t="s">
        <v>221</v>
      </c>
      <c r="F97" s="5">
        <v>1</v>
      </c>
      <c r="G97" s="5">
        <v>7500000</v>
      </c>
      <c r="H97" s="5">
        <f t="shared" si="5"/>
        <v>5250000</v>
      </c>
      <c r="I97" s="5">
        <f t="shared" si="6"/>
        <v>7500000</v>
      </c>
      <c r="J97" s="5">
        <f t="shared" si="7"/>
        <v>2250000</v>
      </c>
      <c r="K97" s="10">
        <f t="shared" si="8"/>
        <v>0.3</v>
      </c>
      <c r="L97" s="5"/>
      <c r="M97" s="7" t="str">
        <f t="shared" si="0"/>
        <v>Phạm Quang Dũng</v>
      </c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</row>
    <row r="98" spans="1:30" ht="15.75" customHeight="1" x14ac:dyDescent="0.3">
      <c r="A98" s="5" t="s">
        <v>154</v>
      </c>
      <c r="B98" s="5" t="s">
        <v>153</v>
      </c>
      <c r="C98" s="5" t="s">
        <v>22</v>
      </c>
      <c r="D98" s="5" t="s">
        <v>14</v>
      </c>
      <c r="E98" s="5" t="s">
        <v>65</v>
      </c>
      <c r="F98" s="5">
        <v>3</v>
      </c>
      <c r="G98" s="5">
        <v>2100000</v>
      </c>
      <c r="H98" s="5">
        <f t="shared" si="5"/>
        <v>1470000</v>
      </c>
      <c r="I98" s="5">
        <f t="shared" si="6"/>
        <v>6300000</v>
      </c>
      <c r="J98" s="5">
        <f t="shared" si="7"/>
        <v>1890000</v>
      </c>
      <c r="K98" s="10">
        <f t="shared" si="8"/>
        <v>0.3</v>
      </c>
      <c r="L98" s="5"/>
      <c r="M98" s="7" t="str">
        <f t="shared" si="0"/>
        <v>Hoàng Thị Mai</v>
      </c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</row>
    <row r="99" spans="1:30" ht="15.75" customHeight="1" x14ac:dyDescent="0.3">
      <c r="A99" s="5" t="s">
        <v>155</v>
      </c>
      <c r="B99" s="5" t="s">
        <v>156</v>
      </c>
      <c r="C99" s="5" t="s">
        <v>9</v>
      </c>
      <c r="D99" s="5" t="s">
        <v>10</v>
      </c>
      <c r="E99" s="5" t="s">
        <v>222</v>
      </c>
      <c r="F99" s="5">
        <v>1</v>
      </c>
      <c r="G99" s="5">
        <v>450000</v>
      </c>
      <c r="H99" s="5">
        <f t="shared" si="5"/>
        <v>315000</v>
      </c>
      <c r="I99" s="5">
        <f t="shared" si="6"/>
        <v>450000</v>
      </c>
      <c r="J99" s="5">
        <f t="shared" si="7"/>
        <v>135000</v>
      </c>
      <c r="K99" s="10">
        <f t="shared" si="8"/>
        <v>0.3</v>
      </c>
      <c r="L99" s="5"/>
      <c r="M99" s="7" t="str">
        <f t="shared" si="0"/>
        <v>Nguyễn Văn An</v>
      </c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</row>
    <row r="100" spans="1:30" ht="15.75" customHeight="1" x14ac:dyDescent="0.3">
      <c r="A100" s="5" t="s">
        <v>157</v>
      </c>
      <c r="B100" s="5" t="s">
        <v>158</v>
      </c>
      <c r="C100" s="5" t="s">
        <v>13</v>
      </c>
      <c r="D100" s="5" t="s">
        <v>14</v>
      </c>
      <c r="E100" s="5" t="s">
        <v>216</v>
      </c>
      <c r="F100" s="5">
        <v>1</v>
      </c>
      <c r="G100" s="5">
        <v>25000000</v>
      </c>
      <c r="H100" s="5">
        <f t="shared" si="5"/>
        <v>17500000</v>
      </c>
      <c r="I100" s="5">
        <f t="shared" si="6"/>
        <v>25000000</v>
      </c>
      <c r="J100" s="5">
        <f t="shared" si="7"/>
        <v>7500000</v>
      </c>
      <c r="K100" s="10">
        <f t="shared" si="8"/>
        <v>0.3</v>
      </c>
      <c r="L100" s="5"/>
      <c r="M100" s="7" t="str">
        <f t="shared" si="0"/>
        <v>Trần Thị Bình</v>
      </c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</row>
    <row r="101" spans="1:30" ht="15.75" customHeight="1" x14ac:dyDescent="0.3">
      <c r="A101" s="5" t="s">
        <v>159</v>
      </c>
      <c r="B101" s="5" t="s">
        <v>160</v>
      </c>
      <c r="C101" s="5" t="s">
        <v>16</v>
      </c>
      <c r="D101" s="5" t="s">
        <v>17</v>
      </c>
      <c r="E101" s="5" t="s">
        <v>217</v>
      </c>
      <c r="F101" s="5">
        <v>1</v>
      </c>
      <c r="G101" s="5">
        <v>1800000</v>
      </c>
      <c r="H101" s="5">
        <f t="shared" si="5"/>
        <v>1260000</v>
      </c>
      <c r="I101" s="5">
        <f t="shared" si="6"/>
        <v>1800000</v>
      </c>
      <c r="J101" s="5">
        <f t="shared" si="7"/>
        <v>540000</v>
      </c>
      <c r="K101" s="10">
        <f t="shared" si="8"/>
        <v>0.3</v>
      </c>
      <c r="L101" s="5"/>
      <c r="M101" s="7" t="str">
        <f t="shared" si="0"/>
        <v>Lê Hoàng Nam</v>
      </c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</row>
    <row r="102" spans="1:30" ht="15.75" customHeight="1" x14ac:dyDescent="0.3">
      <c r="A102" s="5" t="s">
        <v>161</v>
      </c>
      <c r="B102" s="5" t="s">
        <v>162</v>
      </c>
      <c r="C102" s="5" t="s">
        <v>20</v>
      </c>
      <c r="D102" s="5"/>
      <c r="E102" s="5" t="s">
        <v>218</v>
      </c>
      <c r="F102" s="5">
        <v>2</v>
      </c>
      <c r="G102" s="5">
        <v>2200000</v>
      </c>
      <c r="H102" s="5">
        <f t="shared" si="5"/>
        <v>1540000</v>
      </c>
      <c r="I102" s="5">
        <f t="shared" si="6"/>
        <v>4400000</v>
      </c>
      <c r="J102" s="5">
        <f t="shared" si="7"/>
        <v>1320000</v>
      </c>
      <c r="K102" s="10">
        <f t="shared" si="8"/>
        <v>0.3</v>
      </c>
      <c r="L102" s="5" t="s">
        <v>30</v>
      </c>
      <c r="M102" s="7" t="str">
        <f t="shared" si="0"/>
        <v>Phạm Quang Dũng</v>
      </c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</row>
    <row r="103" spans="1:30" ht="15.75" customHeight="1" x14ac:dyDescent="0.3">
      <c r="A103" s="5" t="s">
        <v>163</v>
      </c>
      <c r="B103" s="5" t="s">
        <v>164</v>
      </c>
      <c r="C103" s="5" t="s">
        <v>22</v>
      </c>
      <c r="D103" s="5" t="s">
        <v>14</v>
      </c>
      <c r="E103" s="5" t="s">
        <v>219</v>
      </c>
      <c r="F103" s="5">
        <v>1</v>
      </c>
      <c r="G103" s="5">
        <v>6500000</v>
      </c>
      <c r="H103" s="5">
        <f t="shared" si="5"/>
        <v>4550000</v>
      </c>
      <c r="I103" s="5">
        <f t="shared" si="6"/>
        <v>6500000</v>
      </c>
      <c r="J103" s="5">
        <f t="shared" si="7"/>
        <v>1950000</v>
      </c>
      <c r="K103" s="10">
        <f t="shared" si="8"/>
        <v>0.3</v>
      </c>
      <c r="L103" s="5"/>
      <c r="M103" s="7" t="str">
        <f t="shared" si="0"/>
        <v>Hoàng Thị Mai</v>
      </c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</row>
    <row r="104" spans="1:30" ht="15.75" customHeight="1" x14ac:dyDescent="0.3">
      <c r="A104" s="5" t="s">
        <v>165</v>
      </c>
      <c r="B104" s="6">
        <v>45136</v>
      </c>
      <c r="C104" s="5" t="s">
        <v>9</v>
      </c>
      <c r="D104" s="5" t="s">
        <v>10</v>
      </c>
      <c r="E104" s="5" t="s">
        <v>220</v>
      </c>
      <c r="F104" s="5">
        <v>1</v>
      </c>
      <c r="G104" s="5">
        <v>2500000</v>
      </c>
      <c r="H104" s="5">
        <f t="shared" si="5"/>
        <v>1750000</v>
      </c>
      <c r="I104" s="5">
        <f t="shared" si="6"/>
        <v>2500000</v>
      </c>
      <c r="J104" s="5">
        <f t="shared" si="7"/>
        <v>750000</v>
      </c>
      <c r="K104" s="10">
        <f t="shared" si="8"/>
        <v>0.3</v>
      </c>
      <c r="L104" s="5"/>
      <c r="M104" s="7" t="str">
        <f t="shared" si="0"/>
        <v>Nguyễn Văn An</v>
      </c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</row>
    <row r="105" spans="1:30" ht="15.75" customHeight="1" x14ac:dyDescent="0.3">
      <c r="A105" s="5" t="s">
        <v>166</v>
      </c>
      <c r="B105" s="6">
        <v>45137</v>
      </c>
      <c r="C105" s="5" t="s">
        <v>13</v>
      </c>
      <c r="D105" s="5" t="s">
        <v>14</v>
      </c>
      <c r="E105" s="5" t="s">
        <v>221</v>
      </c>
      <c r="F105" s="5">
        <v>1</v>
      </c>
      <c r="G105" s="5">
        <v>7500000</v>
      </c>
      <c r="H105" s="5">
        <f t="shared" si="5"/>
        <v>5250000</v>
      </c>
      <c r="I105" s="5">
        <f t="shared" si="6"/>
        <v>7500000</v>
      </c>
      <c r="J105" s="5">
        <f t="shared" si="7"/>
        <v>2250000</v>
      </c>
      <c r="K105" s="10">
        <f t="shared" si="8"/>
        <v>0.3</v>
      </c>
      <c r="L105" s="5"/>
      <c r="M105" s="7" t="str">
        <f t="shared" si="0"/>
        <v>Trần Thị Bình</v>
      </c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</row>
    <row r="106" spans="1:30" ht="15.75" customHeight="1" x14ac:dyDescent="0.3">
      <c r="A106" s="5" t="s">
        <v>167</v>
      </c>
      <c r="B106" s="6">
        <v>45138</v>
      </c>
      <c r="C106" s="5" t="s">
        <v>16</v>
      </c>
      <c r="D106" s="5" t="s">
        <v>17</v>
      </c>
      <c r="E106" s="5" t="s">
        <v>65</v>
      </c>
      <c r="F106" s="5">
        <v>1</v>
      </c>
      <c r="G106" s="5">
        <v>2100000</v>
      </c>
      <c r="H106" s="5">
        <f t="shared" si="5"/>
        <v>1470000</v>
      </c>
      <c r="I106" s="5">
        <f t="shared" si="6"/>
        <v>2100000</v>
      </c>
      <c r="J106" s="5">
        <f t="shared" si="7"/>
        <v>630000</v>
      </c>
      <c r="K106" s="10">
        <f t="shared" si="8"/>
        <v>0.3</v>
      </c>
      <c r="L106" s="5"/>
      <c r="M106" s="7" t="str">
        <f t="shared" si="0"/>
        <v>Lê Hoàng Nam</v>
      </c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</row>
    <row r="107" spans="1:30" ht="15.75" customHeight="1" x14ac:dyDescent="0.3">
      <c r="A107" s="5" t="s">
        <v>168</v>
      </c>
      <c r="B107" s="6">
        <v>45139</v>
      </c>
      <c r="C107" s="5" t="s">
        <v>20</v>
      </c>
      <c r="D107" s="5"/>
      <c r="E107" s="5" t="s">
        <v>222</v>
      </c>
      <c r="F107" s="5">
        <v>4</v>
      </c>
      <c r="G107" s="5">
        <v>450000</v>
      </c>
      <c r="H107" s="5">
        <f t="shared" si="5"/>
        <v>315000</v>
      </c>
      <c r="I107" s="5">
        <f t="shared" si="6"/>
        <v>1800000</v>
      </c>
      <c r="J107" s="5">
        <f t="shared" si="7"/>
        <v>540000</v>
      </c>
      <c r="K107" s="10">
        <f t="shared" si="8"/>
        <v>0.3</v>
      </c>
      <c r="L107" s="5"/>
      <c r="M107" s="7" t="str">
        <f t="shared" si="0"/>
        <v>Phạm Quang Dũng</v>
      </c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</row>
    <row r="108" spans="1:30" ht="15.75" customHeight="1" x14ac:dyDescent="0.3">
      <c r="A108" s="5" t="s">
        <v>169</v>
      </c>
      <c r="B108" s="6">
        <v>45140</v>
      </c>
      <c r="C108" s="5" t="s">
        <v>22</v>
      </c>
      <c r="D108" s="5" t="s">
        <v>14</v>
      </c>
      <c r="E108" s="5" t="s">
        <v>216</v>
      </c>
      <c r="F108" s="5">
        <v>1</v>
      </c>
      <c r="G108" s="5">
        <v>25000000</v>
      </c>
      <c r="H108" s="5">
        <f t="shared" si="5"/>
        <v>17500000</v>
      </c>
      <c r="I108" s="5">
        <f t="shared" si="6"/>
        <v>25000000</v>
      </c>
      <c r="J108" s="5">
        <f t="shared" si="7"/>
        <v>7500000</v>
      </c>
      <c r="K108" s="10">
        <f t="shared" si="8"/>
        <v>0.3</v>
      </c>
      <c r="L108" s="5"/>
      <c r="M108" s="7" t="str">
        <f t="shared" si="0"/>
        <v>Hoàng Thị Mai</v>
      </c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</row>
    <row r="109" spans="1:30" ht="15.75" customHeight="1" x14ac:dyDescent="0.3">
      <c r="A109" s="5" t="s">
        <v>170</v>
      </c>
      <c r="B109" s="6">
        <v>45141</v>
      </c>
      <c r="C109" s="5" t="s">
        <v>9</v>
      </c>
      <c r="D109" s="5" t="s">
        <v>10</v>
      </c>
      <c r="E109" s="5" t="s">
        <v>217</v>
      </c>
      <c r="F109" s="5">
        <v>1</v>
      </c>
      <c r="G109" s="5">
        <v>1800000</v>
      </c>
      <c r="H109" s="5">
        <f t="shared" si="5"/>
        <v>1260000</v>
      </c>
      <c r="I109" s="5">
        <f t="shared" si="6"/>
        <v>1800000</v>
      </c>
      <c r="J109" s="5">
        <f t="shared" si="7"/>
        <v>540000</v>
      </c>
      <c r="K109" s="10">
        <f t="shared" si="8"/>
        <v>0.3</v>
      </c>
      <c r="L109" s="5"/>
      <c r="M109" s="7" t="str">
        <f t="shared" si="0"/>
        <v>Nguyễn Văn An</v>
      </c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</row>
    <row r="110" spans="1:30" ht="15.75" customHeight="1" x14ac:dyDescent="0.3">
      <c r="A110" s="5" t="s">
        <v>171</v>
      </c>
      <c r="B110" s="6">
        <v>45142</v>
      </c>
      <c r="C110" s="5" t="s">
        <v>13</v>
      </c>
      <c r="D110" s="5" t="s">
        <v>14</v>
      </c>
      <c r="E110" s="5" t="s">
        <v>218</v>
      </c>
      <c r="F110" s="5">
        <v>1</v>
      </c>
      <c r="G110" s="5">
        <v>2200000</v>
      </c>
      <c r="H110" s="5">
        <f t="shared" si="5"/>
        <v>1540000</v>
      </c>
      <c r="I110" s="5">
        <f t="shared" si="6"/>
        <v>2200000</v>
      </c>
      <c r="J110" s="5">
        <f t="shared" si="7"/>
        <v>660000</v>
      </c>
      <c r="K110" s="10">
        <f t="shared" si="8"/>
        <v>0.3</v>
      </c>
      <c r="L110" s="5"/>
      <c r="M110" s="7" t="str">
        <f t="shared" si="0"/>
        <v>Trần Thị Bình</v>
      </c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</row>
    <row r="111" spans="1:30" ht="15.75" customHeight="1" x14ac:dyDescent="0.3">
      <c r="A111" s="5" t="s">
        <v>172</v>
      </c>
      <c r="B111" s="6">
        <v>45173</v>
      </c>
      <c r="C111" s="5" t="s">
        <v>16</v>
      </c>
      <c r="D111" s="5" t="s">
        <v>17</v>
      </c>
      <c r="E111" s="5" t="s">
        <v>219</v>
      </c>
      <c r="F111" s="5">
        <v>2</v>
      </c>
      <c r="G111" s="5">
        <v>6500000</v>
      </c>
      <c r="H111" s="5">
        <f t="shared" si="5"/>
        <v>4550000</v>
      </c>
      <c r="I111" s="5">
        <f t="shared" si="6"/>
        <v>13000000</v>
      </c>
      <c r="J111" s="5">
        <f t="shared" si="7"/>
        <v>3900000</v>
      </c>
      <c r="K111" s="10">
        <f t="shared" si="8"/>
        <v>0.3</v>
      </c>
      <c r="L111" s="5" t="s">
        <v>23</v>
      </c>
      <c r="M111" s="7" t="str">
        <f t="shared" si="0"/>
        <v>Lê Hoàng Nam</v>
      </c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</row>
    <row r="112" spans="1:30" ht="15.75" customHeight="1" x14ac:dyDescent="0.3">
      <c r="A112" s="5" t="s">
        <v>173</v>
      </c>
      <c r="B112" s="6">
        <v>45203</v>
      </c>
      <c r="C112" s="5" t="s">
        <v>20</v>
      </c>
      <c r="D112" s="5"/>
      <c r="E112" s="5" t="s">
        <v>220</v>
      </c>
      <c r="F112" s="5">
        <v>2</v>
      </c>
      <c r="G112" s="5">
        <v>2500000</v>
      </c>
      <c r="H112" s="5">
        <f t="shared" si="5"/>
        <v>1750000</v>
      </c>
      <c r="I112" s="5">
        <f t="shared" si="6"/>
        <v>5000000</v>
      </c>
      <c r="J112" s="5">
        <f t="shared" si="7"/>
        <v>1500000</v>
      </c>
      <c r="K112" s="10">
        <f t="shared" si="8"/>
        <v>0.3</v>
      </c>
      <c r="L112" s="5"/>
      <c r="M112" s="7" t="str">
        <f t="shared" si="0"/>
        <v>Phạm Quang Dũng</v>
      </c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</row>
    <row r="113" spans="1:30" ht="15.75" customHeight="1" x14ac:dyDescent="0.3">
      <c r="A113" s="5" t="s">
        <v>174</v>
      </c>
      <c r="B113" s="6">
        <v>45234</v>
      </c>
      <c r="C113" s="5" t="s">
        <v>22</v>
      </c>
      <c r="D113" s="5" t="s">
        <v>14</v>
      </c>
      <c r="E113" s="5" t="s">
        <v>221</v>
      </c>
      <c r="F113" s="5">
        <v>1</v>
      </c>
      <c r="G113" s="5">
        <v>7500000</v>
      </c>
      <c r="H113" s="5">
        <f t="shared" si="5"/>
        <v>5250000</v>
      </c>
      <c r="I113" s="5">
        <f t="shared" si="6"/>
        <v>7500000</v>
      </c>
      <c r="J113" s="5">
        <f t="shared" si="7"/>
        <v>2250000</v>
      </c>
      <c r="K113" s="10">
        <f t="shared" si="8"/>
        <v>0.3</v>
      </c>
      <c r="L113" s="5"/>
      <c r="M113" s="7" t="str">
        <f t="shared" si="0"/>
        <v>Hoàng Thị Mai</v>
      </c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</row>
    <row r="114" spans="1:30" ht="15.75" customHeight="1" x14ac:dyDescent="0.3">
      <c r="A114" s="5" t="s">
        <v>175</v>
      </c>
      <c r="B114" s="6">
        <v>45234</v>
      </c>
      <c r="C114" s="5" t="s">
        <v>9</v>
      </c>
      <c r="D114" s="5" t="s">
        <v>10</v>
      </c>
      <c r="E114" s="5" t="s">
        <v>65</v>
      </c>
      <c r="F114" s="5">
        <v>1</v>
      </c>
      <c r="G114" s="5">
        <v>2100000</v>
      </c>
      <c r="H114" s="5">
        <f t="shared" si="5"/>
        <v>1470000</v>
      </c>
      <c r="I114" s="5">
        <f t="shared" si="6"/>
        <v>2100000</v>
      </c>
      <c r="J114" s="5">
        <f t="shared" si="7"/>
        <v>630000</v>
      </c>
      <c r="K114" s="10">
        <f t="shared" si="8"/>
        <v>0.3</v>
      </c>
      <c r="L114" s="5"/>
      <c r="M114" s="7" t="str">
        <f t="shared" si="0"/>
        <v>Nguyễn Văn An</v>
      </c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</row>
    <row r="115" spans="1:30" ht="15.75" customHeight="1" x14ac:dyDescent="0.3">
      <c r="A115" s="5" t="s">
        <v>176</v>
      </c>
      <c r="B115" s="6">
        <v>45264</v>
      </c>
      <c r="C115" s="5" t="s">
        <v>13</v>
      </c>
      <c r="D115" s="5" t="s">
        <v>14</v>
      </c>
      <c r="E115" s="5" t="s">
        <v>219</v>
      </c>
      <c r="F115" s="5">
        <v>1</v>
      </c>
      <c r="G115" s="5">
        <v>25000000</v>
      </c>
      <c r="H115" s="5">
        <f t="shared" si="5"/>
        <v>17500000</v>
      </c>
      <c r="I115" s="5">
        <f t="shared" si="6"/>
        <v>25000000</v>
      </c>
      <c r="J115" s="5">
        <f t="shared" si="7"/>
        <v>7500000</v>
      </c>
      <c r="K115" s="10">
        <f t="shared" si="8"/>
        <v>0.3</v>
      </c>
      <c r="L115" s="5"/>
      <c r="M115" s="7" t="str">
        <f t="shared" si="0"/>
        <v>Trần Thị Bình</v>
      </c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</row>
    <row r="116" spans="1:30" ht="15.75" customHeight="1" x14ac:dyDescent="0.3">
      <c r="A116" s="5" t="s">
        <v>177</v>
      </c>
      <c r="B116" s="5" t="s">
        <v>178</v>
      </c>
      <c r="C116" s="5" t="s">
        <v>16</v>
      </c>
      <c r="D116" s="5" t="s">
        <v>17</v>
      </c>
      <c r="E116" s="5" t="s">
        <v>216</v>
      </c>
      <c r="F116" s="5">
        <v>1</v>
      </c>
      <c r="G116" s="5">
        <v>25000000</v>
      </c>
      <c r="H116" s="5">
        <f t="shared" si="5"/>
        <v>17500000</v>
      </c>
      <c r="I116" s="5">
        <f t="shared" si="6"/>
        <v>25000000</v>
      </c>
      <c r="J116" s="5">
        <f t="shared" si="7"/>
        <v>7500000</v>
      </c>
      <c r="K116" s="10">
        <f t="shared" si="8"/>
        <v>0.3</v>
      </c>
      <c r="L116" s="5"/>
      <c r="M116" s="7" t="str">
        <f t="shared" si="0"/>
        <v>Lê Hoàng Nam</v>
      </c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</row>
    <row r="117" spans="1:30" ht="15.75" customHeight="1" x14ac:dyDescent="0.3">
      <c r="A117" s="5" t="s">
        <v>179</v>
      </c>
      <c r="B117" s="5" t="s">
        <v>180</v>
      </c>
      <c r="C117" s="5" t="s">
        <v>20</v>
      </c>
      <c r="D117" s="5"/>
      <c r="E117" s="5" t="s">
        <v>217</v>
      </c>
      <c r="F117" s="5"/>
      <c r="G117" s="5">
        <v>1800000</v>
      </c>
      <c r="H117" s="5">
        <f t="shared" si="5"/>
        <v>1260000</v>
      </c>
      <c r="I117" s="5">
        <f t="shared" si="6"/>
        <v>0</v>
      </c>
      <c r="J117" s="5">
        <f t="shared" si="7"/>
        <v>0</v>
      </c>
      <c r="K117" s="10" t="e">
        <f t="shared" si="8"/>
        <v>#DIV/0!</v>
      </c>
      <c r="L117" s="5"/>
      <c r="M117" s="7" t="str">
        <f t="shared" si="0"/>
        <v>Phạm Quang Dũng</v>
      </c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</row>
    <row r="118" spans="1:30" ht="15.75" customHeight="1" x14ac:dyDescent="0.3">
      <c r="A118" s="5" t="s">
        <v>181</v>
      </c>
      <c r="B118" s="5" t="s">
        <v>182</v>
      </c>
      <c r="C118" s="5" t="s">
        <v>22</v>
      </c>
      <c r="D118" s="5" t="s">
        <v>14</v>
      </c>
      <c r="E118" s="5" t="s">
        <v>218</v>
      </c>
      <c r="F118" s="5">
        <v>1</v>
      </c>
      <c r="G118" s="5">
        <v>2200000</v>
      </c>
      <c r="H118" s="5">
        <f t="shared" si="5"/>
        <v>1540000</v>
      </c>
      <c r="I118" s="5">
        <f t="shared" si="6"/>
        <v>2200000</v>
      </c>
      <c r="J118" s="5">
        <f t="shared" si="7"/>
        <v>660000</v>
      </c>
      <c r="K118" s="10">
        <f t="shared" si="8"/>
        <v>0.3</v>
      </c>
      <c r="L118" s="5"/>
      <c r="M118" s="7" t="str">
        <f t="shared" si="0"/>
        <v>Hoàng Thị Mai</v>
      </c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</row>
    <row r="119" spans="1:30" ht="15.75" customHeight="1" x14ac:dyDescent="0.3">
      <c r="A119" s="5" t="s">
        <v>183</v>
      </c>
      <c r="B119" s="5" t="s">
        <v>182</v>
      </c>
      <c r="C119" s="5" t="s">
        <v>9</v>
      </c>
      <c r="D119" s="5" t="s">
        <v>10</v>
      </c>
      <c r="E119" s="5" t="s">
        <v>219</v>
      </c>
      <c r="F119" s="5">
        <v>1</v>
      </c>
      <c r="G119" s="5">
        <v>6500000</v>
      </c>
      <c r="H119" s="5">
        <f t="shared" si="5"/>
        <v>4550000</v>
      </c>
      <c r="I119" s="5">
        <f t="shared" si="6"/>
        <v>6500000</v>
      </c>
      <c r="J119" s="5">
        <f t="shared" si="7"/>
        <v>1950000</v>
      </c>
      <c r="K119" s="10">
        <f t="shared" si="8"/>
        <v>0.3</v>
      </c>
      <c r="L119" s="5"/>
      <c r="M119" s="7" t="str">
        <f t="shared" si="0"/>
        <v>Nguyễn Văn An</v>
      </c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</row>
    <row r="120" spans="1:30" ht="15.75" customHeight="1" x14ac:dyDescent="0.3">
      <c r="A120" s="5" t="s">
        <v>184</v>
      </c>
      <c r="B120" s="5" t="s">
        <v>185</v>
      </c>
      <c r="C120" s="5" t="s">
        <v>13</v>
      </c>
      <c r="D120" s="5" t="s">
        <v>14</v>
      </c>
      <c r="E120" s="5" t="s">
        <v>220</v>
      </c>
      <c r="F120" s="5">
        <v>1</v>
      </c>
      <c r="G120" s="5">
        <v>2500000</v>
      </c>
      <c r="H120" s="5">
        <f t="shared" si="5"/>
        <v>1750000</v>
      </c>
      <c r="I120" s="5">
        <f t="shared" si="6"/>
        <v>2500000</v>
      </c>
      <c r="J120" s="5">
        <f t="shared" si="7"/>
        <v>750000</v>
      </c>
      <c r="K120" s="10">
        <f t="shared" si="8"/>
        <v>0.3</v>
      </c>
      <c r="L120" s="5"/>
      <c r="M120" s="7" t="str">
        <f t="shared" si="0"/>
        <v>Trần Thị Bình</v>
      </c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</row>
    <row r="121" spans="1:30" ht="15.75" customHeight="1" x14ac:dyDescent="0.3">
      <c r="A121" s="5" t="s">
        <v>186</v>
      </c>
      <c r="B121" s="5" t="s">
        <v>187</v>
      </c>
      <c r="C121" s="5" t="s">
        <v>16</v>
      </c>
      <c r="D121" s="5" t="s">
        <v>17</v>
      </c>
      <c r="E121" s="5" t="s">
        <v>221</v>
      </c>
      <c r="F121" s="5">
        <v>1</v>
      </c>
      <c r="G121" s="5">
        <v>7500000</v>
      </c>
      <c r="H121" s="5">
        <f t="shared" si="5"/>
        <v>5250000</v>
      </c>
      <c r="I121" s="5">
        <f t="shared" si="6"/>
        <v>7500000</v>
      </c>
      <c r="J121" s="5">
        <f t="shared" si="7"/>
        <v>2250000</v>
      </c>
      <c r="K121" s="10">
        <f t="shared" si="8"/>
        <v>0.3</v>
      </c>
      <c r="L121" s="5"/>
      <c r="M121" s="7" t="str">
        <f t="shared" si="0"/>
        <v>Lê Hoàng Nam</v>
      </c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</row>
    <row r="122" spans="1:30" ht="15.75" customHeight="1" x14ac:dyDescent="0.3">
      <c r="A122" s="5" t="s">
        <v>188</v>
      </c>
      <c r="B122" s="5" t="s">
        <v>189</v>
      </c>
      <c r="C122" s="5" t="s">
        <v>20</v>
      </c>
      <c r="D122" s="5"/>
      <c r="E122" s="5" t="s">
        <v>65</v>
      </c>
      <c r="F122" s="5">
        <v>2</v>
      </c>
      <c r="G122" s="5">
        <v>2100000</v>
      </c>
      <c r="H122" s="5">
        <f t="shared" si="5"/>
        <v>1470000</v>
      </c>
      <c r="I122" s="5">
        <f t="shared" si="6"/>
        <v>4200000</v>
      </c>
      <c r="J122" s="5">
        <f t="shared" si="7"/>
        <v>1260000</v>
      </c>
      <c r="K122" s="10">
        <f t="shared" si="8"/>
        <v>0.3</v>
      </c>
      <c r="L122" s="5"/>
      <c r="M122" s="7" t="str">
        <f t="shared" si="0"/>
        <v>Phạm Quang Dũng</v>
      </c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</row>
    <row r="123" spans="1:30" ht="15.75" customHeight="1" x14ac:dyDescent="0.3">
      <c r="A123" s="5" t="s">
        <v>190</v>
      </c>
      <c r="B123" s="5" t="s">
        <v>189</v>
      </c>
      <c r="C123" s="5" t="s">
        <v>22</v>
      </c>
      <c r="D123" s="5" t="s">
        <v>14</v>
      </c>
      <c r="E123" s="5" t="s">
        <v>222</v>
      </c>
      <c r="F123" s="5"/>
      <c r="G123" s="5">
        <v>450000</v>
      </c>
      <c r="H123" s="5">
        <f t="shared" si="5"/>
        <v>315000</v>
      </c>
      <c r="I123" s="5">
        <f t="shared" si="6"/>
        <v>0</v>
      </c>
      <c r="J123" s="5">
        <f t="shared" si="7"/>
        <v>0</v>
      </c>
      <c r="K123" s="10" t="e">
        <f t="shared" si="8"/>
        <v>#DIV/0!</v>
      </c>
      <c r="L123" s="5"/>
      <c r="M123" s="7" t="str">
        <f t="shared" si="0"/>
        <v>Hoàng Thị Mai</v>
      </c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</row>
    <row r="124" spans="1:30" ht="15.75" customHeight="1" x14ac:dyDescent="0.3">
      <c r="A124" s="5" t="s">
        <v>191</v>
      </c>
      <c r="B124" s="5" t="s">
        <v>192</v>
      </c>
      <c r="C124" s="5" t="s">
        <v>9</v>
      </c>
      <c r="D124" s="5" t="s">
        <v>10</v>
      </c>
      <c r="E124" s="5" t="s">
        <v>216</v>
      </c>
      <c r="F124" s="5">
        <v>1</v>
      </c>
      <c r="G124" s="5">
        <v>25000000</v>
      </c>
      <c r="H124" s="5">
        <f t="shared" si="5"/>
        <v>17500000</v>
      </c>
      <c r="I124" s="5">
        <f t="shared" si="6"/>
        <v>25000000</v>
      </c>
      <c r="J124" s="5">
        <f t="shared" si="7"/>
        <v>7500000</v>
      </c>
      <c r="K124" s="10">
        <f t="shared" si="8"/>
        <v>0.3</v>
      </c>
      <c r="L124" s="5"/>
      <c r="M124" s="7" t="str">
        <f t="shared" si="0"/>
        <v>Nguyễn Văn An</v>
      </c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</row>
    <row r="125" spans="1:30" ht="15.75" customHeight="1" x14ac:dyDescent="0.3">
      <c r="A125" s="5" t="s">
        <v>193</v>
      </c>
      <c r="B125" s="5" t="s">
        <v>194</v>
      </c>
      <c r="C125" s="5" t="s">
        <v>13</v>
      </c>
      <c r="D125" s="5" t="s">
        <v>14</v>
      </c>
      <c r="E125" s="5" t="s">
        <v>217</v>
      </c>
      <c r="F125" s="5">
        <v>1</v>
      </c>
      <c r="G125" s="5">
        <v>1800000</v>
      </c>
      <c r="H125" s="5">
        <f t="shared" si="5"/>
        <v>1260000</v>
      </c>
      <c r="I125" s="5">
        <f t="shared" si="6"/>
        <v>1800000</v>
      </c>
      <c r="J125" s="5">
        <f t="shared" si="7"/>
        <v>540000</v>
      </c>
      <c r="K125" s="10">
        <f t="shared" si="8"/>
        <v>0.3</v>
      </c>
      <c r="L125" s="5"/>
      <c r="M125" s="7" t="str">
        <f t="shared" si="0"/>
        <v>Trần Thị Bình</v>
      </c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</row>
    <row r="126" spans="1:30" ht="15.75" customHeight="1" x14ac:dyDescent="0.3">
      <c r="A126" s="5" t="s">
        <v>195</v>
      </c>
      <c r="B126" s="5" t="s">
        <v>196</v>
      </c>
      <c r="C126" s="5" t="s">
        <v>16</v>
      </c>
      <c r="D126" s="5" t="s">
        <v>17</v>
      </c>
      <c r="E126" s="5" t="s">
        <v>218</v>
      </c>
      <c r="F126" s="5">
        <v>1</v>
      </c>
      <c r="G126" s="5">
        <v>2200000</v>
      </c>
      <c r="H126" s="5">
        <f t="shared" si="5"/>
        <v>1540000</v>
      </c>
      <c r="I126" s="5">
        <f t="shared" si="6"/>
        <v>2200000</v>
      </c>
      <c r="J126" s="5">
        <f t="shared" si="7"/>
        <v>660000</v>
      </c>
      <c r="K126" s="10">
        <f t="shared" si="8"/>
        <v>0.3</v>
      </c>
      <c r="L126" s="5"/>
      <c r="M126" s="7" t="str">
        <f t="shared" si="0"/>
        <v>Lê Hoàng Nam</v>
      </c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</row>
    <row r="127" spans="1:30" ht="15.75" customHeight="1" x14ac:dyDescent="0.3">
      <c r="A127" s="5" t="s">
        <v>197</v>
      </c>
      <c r="B127" s="5" t="s">
        <v>198</v>
      </c>
      <c r="C127" s="5" t="s">
        <v>20</v>
      </c>
      <c r="D127" s="5"/>
      <c r="E127" s="5" t="s">
        <v>219</v>
      </c>
      <c r="F127" s="5">
        <v>1</v>
      </c>
      <c r="G127" s="5">
        <v>6500000</v>
      </c>
      <c r="H127" s="5">
        <f t="shared" si="5"/>
        <v>4550000</v>
      </c>
      <c r="I127" s="5">
        <f t="shared" si="6"/>
        <v>6500000</v>
      </c>
      <c r="J127" s="5">
        <f t="shared" si="7"/>
        <v>1950000</v>
      </c>
      <c r="K127" s="10">
        <f t="shared" si="8"/>
        <v>0.3</v>
      </c>
      <c r="L127" s="5"/>
      <c r="M127" s="7" t="str">
        <f t="shared" si="0"/>
        <v>Phạm Quang Dũng</v>
      </c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</row>
    <row r="128" spans="1:30" ht="15.75" customHeight="1" x14ac:dyDescent="0.3">
      <c r="A128" s="5" t="s">
        <v>199</v>
      </c>
      <c r="B128" s="5" t="s">
        <v>200</v>
      </c>
      <c r="C128" s="5" t="s">
        <v>22</v>
      </c>
      <c r="D128" s="5" t="s">
        <v>14</v>
      </c>
      <c r="E128" s="5" t="s">
        <v>217</v>
      </c>
      <c r="F128" s="5"/>
      <c r="G128" s="5">
        <v>6500000</v>
      </c>
      <c r="H128" s="5">
        <f t="shared" si="5"/>
        <v>4550000</v>
      </c>
      <c r="I128" s="5">
        <f t="shared" si="6"/>
        <v>0</v>
      </c>
      <c r="J128" s="5">
        <f t="shared" si="7"/>
        <v>0</v>
      </c>
      <c r="K128" s="10" t="e">
        <f t="shared" si="8"/>
        <v>#DIV/0!</v>
      </c>
      <c r="L128" s="5"/>
      <c r="M128" s="7" t="str">
        <f t="shared" si="0"/>
        <v>Hoàng Thị Mai</v>
      </c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</row>
    <row r="129" spans="1:30" ht="15.75" customHeight="1" x14ac:dyDescent="0.3">
      <c r="A129" s="5" t="s">
        <v>201</v>
      </c>
      <c r="B129" s="5" t="s">
        <v>200</v>
      </c>
      <c r="C129" s="5" t="s">
        <v>9</v>
      </c>
      <c r="D129" s="5" t="s">
        <v>10</v>
      </c>
      <c r="E129" s="5" t="s">
        <v>221</v>
      </c>
      <c r="F129" s="5">
        <v>1</v>
      </c>
      <c r="G129" s="5">
        <v>7500000</v>
      </c>
      <c r="H129" s="5">
        <f t="shared" si="5"/>
        <v>5250000</v>
      </c>
      <c r="I129" s="5">
        <f t="shared" si="6"/>
        <v>7500000</v>
      </c>
      <c r="J129" s="5">
        <f t="shared" si="7"/>
        <v>2250000</v>
      </c>
      <c r="K129" s="10">
        <f t="shared" si="8"/>
        <v>0.3</v>
      </c>
      <c r="L129" s="5"/>
      <c r="M129" s="7" t="str">
        <f t="shared" si="0"/>
        <v>Nguyễn Văn An</v>
      </c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</row>
    <row r="130" spans="1:30" ht="15.75" customHeight="1" x14ac:dyDescent="0.3">
      <c r="A130" s="5" t="s">
        <v>202</v>
      </c>
      <c r="B130" s="5" t="s">
        <v>203</v>
      </c>
      <c r="C130" s="5" t="s">
        <v>13</v>
      </c>
      <c r="D130" s="5" t="s">
        <v>14</v>
      </c>
      <c r="E130" s="5" t="s">
        <v>65</v>
      </c>
      <c r="F130" s="5">
        <v>1</v>
      </c>
      <c r="G130" s="5">
        <v>2100000</v>
      </c>
      <c r="H130" s="5">
        <f t="shared" si="5"/>
        <v>1470000</v>
      </c>
      <c r="I130" s="5">
        <f t="shared" si="6"/>
        <v>2100000</v>
      </c>
      <c r="J130" s="5">
        <f t="shared" si="7"/>
        <v>630000</v>
      </c>
      <c r="K130" s="10">
        <f t="shared" si="8"/>
        <v>0.3</v>
      </c>
      <c r="L130" s="5"/>
      <c r="M130" s="7" t="str">
        <f t="shared" si="0"/>
        <v>Trần Thị Bình</v>
      </c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</row>
    <row r="131" spans="1:30" ht="15.75" customHeight="1" x14ac:dyDescent="0.3">
      <c r="A131" s="5" t="s">
        <v>204</v>
      </c>
      <c r="B131" s="5" t="s">
        <v>205</v>
      </c>
      <c r="C131" s="5" t="s">
        <v>16</v>
      </c>
      <c r="D131" s="5" t="s">
        <v>17</v>
      </c>
      <c r="E131" s="5" t="s">
        <v>222</v>
      </c>
      <c r="F131" s="5">
        <v>5</v>
      </c>
      <c r="G131" s="5">
        <v>450000</v>
      </c>
      <c r="H131" s="5">
        <f t="shared" ref="H131:H136" si="9">G131*0.7</f>
        <v>315000</v>
      </c>
      <c r="I131" s="5">
        <f t="shared" ref="I131:I136" si="10">F131*G131</f>
        <v>2250000</v>
      </c>
      <c r="J131" s="5">
        <f t="shared" ref="J131:J136" si="11">I131-(F131*H131)</f>
        <v>675000</v>
      </c>
      <c r="K131" s="10">
        <f t="shared" ref="K131:K136" si="12">J131/I131</f>
        <v>0.3</v>
      </c>
      <c r="L131" s="5" t="s">
        <v>11</v>
      </c>
      <c r="M131" s="7" t="str">
        <f t="shared" si="0"/>
        <v>Lê Hoàng Nam</v>
      </c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</row>
    <row r="132" spans="1:30" ht="15.75" customHeight="1" x14ac:dyDescent="0.3">
      <c r="A132" s="5" t="s">
        <v>206</v>
      </c>
      <c r="B132" s="5" t="s">
        <v>207</v>
      </c>
      <c r="C132" s="5" t="s">
        <v>20</v>
      </c>
      <c r="D132" s="5"/>
      <c r="E132" s="5" t="s">
        <v>216</v>
      </c>
      <c r="F132" s="5">
        <v>1</v>
      </c>
      <c r="G132" s="5">
        <v>25000000</v>
      </c>
      <c r="H132" s="5">
        <f t="shared" si="9"/>
        <v>17500000</v>
      </c>
      <c r="I132" s="5">
        <f t="shared" si="10"/>
        <v>25000000</v>
      </c>
      <c r="J132" s="5">
        <f t="shared" si="11"/>
        <v>7500000</v>
      </c>
      <c r="K132" s="10">
        <f t="shared" si="12"/>
        <v>0.3</v>
      </c>
      <c r="L132" s="5"/>
      <c r="M132" s="7" t="str">
        <f t="shared" si="0"/>
        <v>Phạm Quang Dũng</v>
      </c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</row>
    <row r="133" spans="1:30" ht="15.75" customHeight="1" x14ac:dyDescent="0.3">
      <c r="A133" s="5" t="s">
        <v>208</v>
      </c>
      <c r="B133" s="5" t="s">
        <v>209</v>
      </c>
      <c r="C133" s="5" t="s">
        <v>22</v>
      </c>
      <c r="D133" s="5" t="s">
        <v>14</v>
      </c>
      <c r="E133" s="5" t="s">
        <v>217</v>
      </c>
      <c r="F133" s="5">
        <v>1</v>
      </c>
      <c r="G133" s="5">
        <v>1800000</v>
      </c>
      <c r="H133" s="5">
        <f t="shared" si="9"/>
        <v>1260000</v>
      </c>
      <c r="I133" s="5">
        <f t="shared" si="10"/>
        <v>1800000</v>
      </c>
      <c r="J133" s="5">
        <f t="shared" si="11"/>
        <v>540000</v>
      </c>
      <c r="K133" s="10">
        <f t="shared" si="12"/>
        <v>0.3</v>
      </c>
      <c r="L133" s="5"/>
      <c r="M133" s="7" t="str">
        <f t="shared" si="0"/>
        <v>Hoàng Thị Mai</v>
      </c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</row>
    <row r="134" spans="1:30" ht="15.75" customHeight="1" x14ac:dyDescent="0.3">
      <c r="A134" s="5" t="s">
        <v>210</v>
      </c>
      <c r="B134" s="5" t="s">
        <v>211</v>
      </c>
      <c r="C134" s="5" t="s">
        <v>9</v>
      </c>
      <c r="D134" s="5" t="s">
        <v>10</v>
      </c>
      <c r="E134" s="5" t="s">
        <v>218</v>
      </c>
      <c r="F134" s="5">
        <v>2</v>
      </c>
      <c r="G134" s="5">
        <v>2200000</v>
      </c>
      <c r="H134" s="5">
        <f t="shared" si="9"/>
        <v>1540000</v>
      </c>
      <c r="I134" s="5">
        <f t="shared" si="10"/>
        <v>4400000</v>
      </c>
      <c r="J134" s="5">
        <f t="shared" si="11"/>
        <v>1320000</v>
      </c>
      <c r="K134" s="10">
        <f t="shared" si="12"/>
        <v>0.3</v>
      </c>
      <c r="L134" s="5"/>
      <c r="M134" s="7" t="str">
        <f t="shared" si="0"/>
        <v>Nguyễn Văn An</v>
      </c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</row>
    <row r="135" spans="1:30" ht="15.75" customHeight="1" x14ac:dyDescent="0.3">
      <c r="A135" s="5" t="s">
        <v>212</v>
      </c>
      <c r="B135" s="5" t="s">
        <v>213</v>
      </c>
      <c r="C135" s="5" t="s">
        <v>13</v>
      </c>
      <c r="D135" s="5" t="s">
        <v>14</v>
      </c>
      <c r="E135" s="5" t="s">
        <v>217</v>
      </c>
      <c r="F135" s="5">
        <v>1</v>
      </c>
      <c r="G135" s="5">
        <v>1800000</v>
      </c>
      <c r="H135" s="5">
        <f t="shared" si="9"/>
        <v>1260000</v>
      </c>
      <c r="I135" s="5">
        <f t="shared" si="10"/>
        <v>1800000</v>
      </c>
      <c r="J135" s="5">
        <f t="shared" si="11"/>
        <v>540000</v>
      </c>
      <c r="K135" s="10">
        <f t="shared" si="12"/>
        <v>0.3</v>
      </c>
      <c r="L135" s="5"/>
      <c r="M135" s="7" t="str">
        <f t="shared" si="0"/>
        <v>Trần Thị Bình</v>
      </c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</row>
    <row r="136" spans="1:30" ht="15.75" customHeight="1" x14ac:dyDescent="0.3">
      <c r="A136" s="5" t="s">
        <v>214</v>
      </c>
      <c r="B136" s="5" t="s">
        <v>215</v>
      </c>
      <c r="C136" s="5" t="s">
        <v>16</v>
      </c>
      <c r="D136" s="5" t="s">
        <v>17</v>
      </c>
      <c r="E136" s="5" t="s">
        <v>220</v>
      </c>
      <c r="F136" s="5">
        <v>1</v>
      </c>
      <c r="G136" s="5">
        <v>2500000</v>
      </c>
      <c r="H136" s="5">
        <f t="shared" si="9"/>
        <v>1750000</v>
      </c>
      <c r="I136" s="5">
        <f t="shared" si="10"/>
        <v>2500000</v>
      </c>
      <c r="J136" s="5">
        <f t="shared" si="11"/>
        <v>750000</v>
      </c>
      <c r="K136" s="10">
        <f t="shared" si="12"/>
        <v>0.3</v>
      </c>
      <c r="L136" s="8"/>
      <c r="M136" s="7" t="str">
        <f t="shared" si="0"/>
        <v>Lê Hoàng Nam</v>
      </c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</row>
    <row r="137" spans="1:30" ht="15.75" customHeight="1" x14ac:dyDescent="0.3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</row>
    <row r="138" spans="1:30" ht="15.75" customHeight="1" x14ac:dyDescent="0.3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</row>
    <row r="139" spans="1:30" ht="15.75" customHeight="1" x14ac:dyDescent="0.3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</row>
    <row r="140" spans="1:30" ht="15.75" customHeight="1" x14ac:dyDescent="0.3">
      <c r="A140" s="7"/>
      <c r="B140" s="7"/>
      <c r="C140" s="9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</row>
    <row r="141" spans="1:30" ht="15.75" customHeight="1" x14ac:dyDescent="0.3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</row>
    <row r="142" spans="1:30" ht="15.75" customHeight="1" x14ac:dyDescent="0.3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</row>
    <row r="143" spans="1:30" ht="15.75" customHeight="1" x14ac:dyDescent="0.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</row>
    <row r="144" spans="1:30" ht="15.75" customHeight="1" x14ac:dyDescent="0.3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</row>
    <row r="145" spans="1:30" ht="15.75" customHeight="1" x14ac:dyDescent="0.3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</row>
    <row r="146" spans="1:30" ht="15.75" customHeight="1" x14ac:dyDescent="0.3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</row>
    <row r="147" spans="1:30" ht="15.75" customHeight="1" x14ac:dyDescent="0.3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</row>
    <row r="148" spans="1:30" ht="15.75" customHeight="1" x14ac:dyDescent="0.3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</row>
    <row r="149" spans="1:30" ht="15.75" customHeight="1" x14ac:dyDescent="0.3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</row>
    <row r="150" spans="1:30" ht="15.75" customHeight="1" x14ac:dyDescent="0.3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</row>
    <row r="151" spans="1:30" ht="15.75" customHeight="1" x14ac:dyDescent="0.3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</row>
    <row r="152" spans="1:30" ht="15.75" customHeight="1" x14ac:dyDescent="0.3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</row>
    <row r="153" spans="1:30" ht="15.75" customHeight="1" x14ac:dyDescent="0.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</row>
    <row r="154" spans="1:30" ht="15.75" customHeight="1" x14ac:dyDescent="0.3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</row>
    <row r="155" spans="1:30" ht="15.75" customHeight="1" x14ac:dyDescent="0.3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</row>
    <row r="156" spans="1:30" ht="15.75" customHeight="1" x14ac:dyDescent="0.3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</row>
    <row r="157" spans="1:30" ht="15.75" customHeight="1" x14ac:dyDescent="0.3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</row>
    <row r="158" spans="1:30" ht="15.75" customHeight="1" x14ac:dyDescent="0.3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</row>
    <row r="159" spans="1:30" ht="15.75" customHeight="1" x14ac:dyDescent="0.3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</row>
    <row r="160" spans="1:30" ht="15.75" customHeight="1" x14ac:dyDescent="0.3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</row>
    <row r="161" spans="1:30" ht="15.75" customHeight="1" x14ac:dyDescent="0.3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</row>
    <row r="162" spans="1:30" ht="15.75" customHeight="1" x14ac:dyDescent="0.3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</row>
    <row r="163" spans="1:30" ht="15.75" customHeight="1" x14ac:dyDescent="0.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</row>
    <row r="164" spans="1:30" ht="15.75" customHeight="1" x14ac:dyDescent="0.3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</row>
    <row r="165" spans="1:30" ht="15.75" customHeight="1" x14ac:dyDescent="0.3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</row>
    <row r="166" spans="1:30" ht="15.75" customHeight="1" x14ac:dyDescent="0.3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</row>
    <row r="167" spans="1:30" ht="15.75" customHeight="1" x14ac:dyDescent="0.3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</row>
    <row r="168" spans="1:30" ht="15.75" customHeight="1" x14ac:dyDescent="0.3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</row>
    <row r="169" spans="1:30" ht="15.75" customHeight="1" x14ac:dyDescent="0.3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</row>
    <row r="170" spans="1:30" ht="15.75" customHeight="1" x14ac:dyDescent="0.3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</row>
    <row r="171" spans="1:30" ht="15.75" customHeight="1" x14ac:dyDescent="0.3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</row>
    <row r="172" spans="1:30" ht="15.75" customHeight="1" x14ac:dyDescent="0.3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</row>
    <row r="173" spans="1:30" ht="15.75" customHeight="1" x14ac:dyDescent="0.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</row>
    <row r="174" spans="1:30" ht="15.75" customHeight="1" x14ac:dyDescent="0.3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</row>
    <row r="175" spans="1:30" ht="15.75" customHeight="1" x14ac:dyDescent="0.3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</row>
    <row r="176" spans="1:30" ht="15.75" customHeight="1" x14ac:dyDescent="0.3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</row>
    <row r="177" spans="1:30" ht="15.75" customHeight="1" x14ac:dyDescent="0.3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</row>
    <row r="178" spans="1:30" ht="15.75" customHeight="1" x14ac:dyDescent="0.3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</row>
    <row r="179" spans="1:30" ht="15.75" customHeight="1" x14ac:dyDescent="0.3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</row>
    <row r="180" spans="1:30" ht="15.75" customHeight="1" x14ac:dyDescent="0.3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</row>
    <row r="181" spans="1:30" ht="15.75" customHeight="1" x14ac:dyDescent="0.3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</row>
    <row r="182" spans="1:30" ht="15.75" customHeight="1" x14ac:dyDescent="0.3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</row>
    <row r="183" spans="1:30" ht="15.75" customHeight="1" x14ac:dyDescent="0.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</row>
    <row r="184" spans="1:30" ht="15.75" customHeight="1" x14ac:dyDescent="0.3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</row>
    <row r="185" spans="1:30" ht="15.75" customHeight="1" x14ac:dyDescent="0.3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</row>
    <row r="186" spans="1:30" ht="15.75" customHeight="1" x14ac:dyDescent="0.3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</row>
    <row r="187" spans="1:30" ht="15.75" customHeight="1" x14ac:dyDescent="0.3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</row>
    <row r="188" spans="1:30" ht="15.75" customHeight="1" x14ac:dyDescent="0.3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</row>
    <row r="189" spans="1:30" ht="15.75" customHeight="1" x14ac:dyDescent="0.3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</row>
    <row r="190" spans="1:30" ht="15.75" customHeight="1" x14ac:dyDescent="0.3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</row>
    <row r="191" spans="1:30" ht="15.75" customHeight="1" x14ac:dyDescent="0.3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</row>
    <row r="192" spans="1:30" ht="15.75" customHeight="1" x14ac:dyDescent="0.3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</row>
    <row r="193" spans="1:30" ht="15.75" customHeight="1" x14ac:dyDescent="0.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</row>
    <row r="194" spans="1:30" ht="15.75" customHeight="1" x14ac:dyDescent="0.3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</row>
    <row r="195" spans="1:30" ht="15.75" customHeight="1" x14ac:dyDescent="0.3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</row>
    <row r="196" spans="1:30" ht="15.75" customHeight="1" x14ac:dyDescent="0.3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</row>
    <row r="197" spans="1:30" ht="15.75" customHeight="1" x14ac:dyDescent="0.3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</row>
    <row r="198" spans="1:30" ht="15.75" customHeight="1" x14ac:dyDescent="0.3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</row>
    <row r="199" spans="1:30" ht="15.75" customHeight="1" x14ac:dyDescent="0.3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</row>
    <row r="200" spans="1:30" ht="15.75" customHeight="1" x14ac:dyDescent="0.3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</row>
    <row r="201" spans="1:30" ht="15.75" customHeight="1" x14ac:dyDescent="0.3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</row>
    <row r="202" spans="1:30" ht="15.75" customHeight="1" x14ac:dyDescent="0.3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</row>
    <row r="203" spans="1:30" ht="15.75" customHeight="1" x14ac:dyDescent="0.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</row>
    <row r="204" spans="1:30" ht="15.75" customHeight="1" x14ac:dyDescent="0.3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</row>
    <row r="205" spans="1:30" ht="15.75" customHeight="1" x14ac:dyDescent="0.3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</row>
    <row r="206" spans="1:30" ht="15.75" customHeight="1" x14ac:dyDescent="0.3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</row>
    <row r="207" spans="1:30" ht="15.75" customHeight="1" x14ac:dyDescent="0.3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</row>
    <row r="208" spans="1:30" ht="15.75" customHeight="1" x14ac:dyDescent="0.3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</row>
    <row r="209" spans="1:30" ht="15.75" customHeight="1" x14ac:dyDescent="0.3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</row>
    <row r="210" spans="1:30" ht="15.75" customHeight="1" x14ac:dyDescent="0.3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</row>
    <row r="211" spans="1:30" ht="15.75" customHeight="1" x14ac:dyDescent="0.3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</row>
    <row r="212" spans="1:30" ht="15.75" customHeight="1" x14ac:dyDescent="0.3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</row>
    <row r="213" spans="1:30" ht="15.75" customHeight="1" x14ac:dyDescent="0.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</row>
    <row r="214" spans="1:30" ht="15.75" customHeight="1" x14ac:dyDescent="0.3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</row>
    <row r="215" spans="1:30" ht="15.75" customHeight="1" x14ac:dyDescent="0.3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</row>
    <row r="216" spans="1:30" ht="15.75" customHeight="1" x14ac:dyDescent="0.3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</row>
    <row r="217" spans="1:30" ht="15.75" customHeight="1" x14ac:dyDescent="0.3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</row>
    <row r="218" spans="1:30" ht="15.75" customHeight="1" x14ac:dyDescent="0.3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</row>
    <row r="219" spans="1:30" ht="15.75" customHeight="1" x14ac:dyDescent="0.3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</row>
    <row r="220" spans="1:30" ht="15.75" customHeight="1" x14ac:dyDescent="0.3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</row>
    <row r="221" spans="1:30" ht="15.75" customHeight="1" x14ac:dyDescent="0.3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</row>
    <row r="222" spans="1:30" ht="15.75" customHeight="1" x14ac:dyDescent="0.3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</row>
    <row r="223" spans="1:30" ht="15.75" customHeight="1" x14ac:dyDescent="0.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</row>
    <row r="224" spans="1:30" ht="15.75" customHeight="1" x14ac:dyDescent="0.3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</row>
    <row r="225" spans="1:30" ht="15.75" customHeight="1" x14ac:dyDescent="0.3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</row>
    <row r="226" spans="1:30" ht="15.75" customHeight="1" x14ac:dyDescent="0.3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</row>
    <row r="227" spans="1:30" ht="15.75" customHeight="1" x14ac:dyDescent="0.3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</row>
    <row r="228" spans="1:30" ht="15.75" customHeight="1" x14ac:dyDescent="0.3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</row>
    <row r="229" spans="1:30" ht="15.75" customHeight="1" x14ac:dyDescent="0.3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</row>
    <row r="230" spans="1:30" ht="15.75" customHeight="1" x14ac:dyDescent="0.3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</row>
    <row r="231" spans="1:30" ht="15.75" customHeight="1" x14ac:dyDescent="0.3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</row>
    <row r="232" spans="1:30" ht="15.75" customHeight="1" x14ac:dyDescent="0.3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</row>
    <row r="233" spans="1:30" ht="15.75" customHeight="1" x14ac:dyDescent="0.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</row>
    <row r="234" spans="1:30" ht="15.75" customHeight="1" x14ac:dyDescent="0.3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</row>
    <row r="235" spans="1:30" ht="15.75" customHeight="1" x14ac:dyDescent="0.3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</row>
    <row r="236" spans="1:30" ht="15.75" customHeight="1" x14ac:dyDescent="0.3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</row>
    <row r="237" spans="1:30" ht="15.75" customHeight="1" x14ac:dyDescent="0.3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</row>
    <row r="238" spans="1:30" ht="15.75" customHeight="1" x14ac:dyDescent="0.3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</row>
    <row r="239" spans="1:30" ht="15.75" customHeight="1" x14ac:dyDescent="0.3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</row>
    <row r="240" spans="1:30" ht="15.75" customHeight="1" x14ac:dyDescent="0.3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</row>
    <row r="241" spans="1:30" ht="15.75" customHeight="1" x14ac:dyDescent="0.3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</row>
    <row r="242" spans="1:30" ht="15.75" customHeight="1" x14ac:dyDescent="0.3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</row>
    <row r="243" spans="1:30" ht="15.75" customHeight="1" x14ac:dyDescent="0.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</row>
    <row r="244" spans="1:30" ht="15.75" customHeight="1" x14ac:dyDescent="0.3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</row>
    <row r="245" spans="1:30" ht="15.75" customHeight="1" x14ac:dyDescent="0.3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</row>
    <row r="246" spans="1:30" ht="15.75" customHeight="1" x14ac:dyDescent="0.3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</row>
    <row r="247" spans="1:30" ht="15.75" customHeight="1" x14ac:dyDescent="0.3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</row>
    <row r="248" spans="1:30" ht="15.75" customHeight="1" x14ac:dyDescent="0.3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</row>
    <row r="249" spans="1:30" ht="15.75" customHeight="1" x14ac:dyDescent="0.3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</row>
    <row r="250" spans="1:30" ht="15.75" customHeight="1" x14ac:dyDescent="0.3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</row>
    <row r="251" spans="1:30" ht="15.75" customHeight="1" x14ac:dyDescent="0.3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</row>
    <row r="252" spans="1:30" ht="15.75" customHeight="1" x14ac:dyDescent="0.3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 spans="1:30" ht="15.75" customHeight="1" x14ac:dyDescent="0.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</row>
    <row r="254" spans="1:30" ht="15.75" customHeight="1" x14ac:dyDescent="0.3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 spans="1:30" ht="15.75" customHeight="1" x14ac:dyDescent="0.3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</row>
    <row r="256" spans="1:30" ht="15.75" customHeight="1" x14ac:dyDescent="0.3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</row>
    <row r="257" spans="1:30" ht="15.75" customHeight="1" x14ac:dyDescent="0.3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</row>
    <row r="258" spans="1:30" ht="15.75" customHeight="1" x14ac:dyDescent="0.3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</row>
    <row r="259" spans="1:30" ht="15.75" customHeight="1" x14ac:dyDescent="0.3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</row>
    <row r="260" spans="1:30" ht="15.75" customHeight="1" x14ac:dyDescent="0.3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</row>
    <row r="261" spans="1:30" ht="15.75" customHeight="1" x14ac:dyDescent="0.3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</row>
    <row r="262" spans="1:30" ht="15.75" customHeight="1" x14ac:dyDescent="0.3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</row>
    <row r="263" spans="1:30" ht="15.75" customHeight="1" x14ac:dyDescent="0.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 spans="1:30" ht="15.75" customHeight="1" x14ac:dyDescent="0.3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 spans="1:30" ht="15.75" customHeight="1" x14ac:dyDescent="0.3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</row>
    <row r="266" spans="1:30" ht="15.75" customHeight="1" x14ac:dyDescent="0.3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</row>
    <row r="267" spans="1:30" ht="15.75" customHeight="1" x14ac:dyDescent="0.3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</row>
    <row r="268" spans="1:30" ht="15.75" customHeight="1" x14ac:dyDescent="0.3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spans="1:30" ht="15.75" customHeight="1" x14ac:dyDescent="0.3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</row>
    <row r="270" spans="1:30" ht="15.75" customHeight="1" x14ac:dyDescent="0.3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</row>
    <row r="271" spans="1:30" ht="15.75" customHeight="1" x14ac:dyDescent="0.3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</row>
    <row r="272" spans="1:30" ht="15.75" customHeight="1" x14ac:dyDescent="0.3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</row>
    <row r="273" spans="1:30" ht="15.75" customHeight="1" x14ac:dyDescent="0.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</row>
    <row r="274" spans="1:30" ht="15.75" customHeight="1" x14ac:dyDescent="0.3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</row>
    <row r="275" spans="1:30" ht="15.75" customHeight="1" x14ac:dyDescent="0.3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</row>
    <row r="276" spans="1:30" ht="15.75" customHeight="1" x14ac:dyDescent="0.3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</row>
    <row r="277" spans="1:30" ht="15.75" customHeight="1" x14ac:dyDescent="0.3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 spans="1:30" ht="15.75" customHeight="1" x14ac:dyDescent="0.3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</row>
    <row r="279" spans="1:30" ht="15.75" customHeight="1" x14ac:dyDescent="0.3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 spans="1:30" ht="15.75" customHeight="1" x14ac:dyDescent="0.3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</row>
    <row r="281" spans="1:30" ht="15.75" customHeight="1" x14ac:dyDescent="0.3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</row>
    <row r="282" spans="1:30" ht="15.75" customHeight="1" x14ac:dyDescent="0.3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</row>
    <row r="283" spans="1:30" ht="15.75" customHeight="1" x14ac:dyDescent="0.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</row>
    <row r="284" spans="1:30" ht="15.75" customHeight="1" x14ac:dyDescent="0.3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</row>
    <row r="285" spans="1:30" ht="15.75" customHeight="1" x14ac:dyDescent="0.3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</row>
    <row r="286" spans="1:30" ht="15.75" customHeight="1" x14ac:dyDescent="0.3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</row>
    <row r="287" spans="1:30" ht="15.75" customHeight="1" x14ac:dyDescent="0.3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</row>
    <row r="288" spans="1:30" ht="15.75" customHeight="1" x14ac:dyDescent="0.3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</row>
    <row r="289" spans="1:30" ht="15.75" customHeight="1" x14ac:dyDescent="0.3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</row>
    <row r="290" spans="1:30" ht="15.75" customHeight="1" x14ac:dyDescent="0.3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</row>
    <row r="291" spans="1:30" ht="15.75" customHeight="1" x14ac:dyDescent="0.3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</row>
    <row r="292" spans="1:30" ht="15.75" customHeight="1" x14ac:dyDescent="0.3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</row>
    <row r="293" spans="1:30" ht="15.75" customHeight="1" x14ac:dyDescent="0.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 spans="1:30" ht="15.75" customHeight="1" x14ac:dyDescent="0.3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</row>
    <row r="295" spans="1:30" ht="15.75" customHeight="1" x14ac:dyDescent="0.3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</row>
    <row r="296" spans="1:30" ht="15.75" customHeight="1" x14ac:dyDescent="0.3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 spans="1:30" ht="15.75" customHeight="1" x14ac:dyDescent="0.3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</row>
    <row r="298" spans="1:30" ht="15.75" customHeight="1" x14ac:dyDescent="0.3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 spans="1:30" ht="15.75" customHeight="1" x14ac:dyDescent="0.3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</row>
    <row r="300" spans="1:30" ht="15.75" customHeight="1" x14ac:dyDescent="0.3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</row>
    <row r="301" spans="1:30" ht="15.75" customHeight="1" x14ac:dyDescent="0.3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</row>
    <row r="302" spans="1:30" ht="15.75" customHeight="1" x14ac:dyDescent="0.3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</row>
    <row r="303" spans="1:30" ht="15.75" customHeight="1" x14ac:dyDescent="0.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</row>
    <row r="304" spans="1:30" ht="15.75" customHeight="1" x14ac:dyDescent="0.3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</row>
    <row r="305" spans="1:30" ht="15.75" customHeight="1" x14ac:dyDescent="0.3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</row>
    <row r="306" spans="1:30" ht="15.75" customHeight="1" x14ac:dyDescent="0.3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</row>
    <row r="307" spans="1:30" ht="15.75" customHeight="1" x14ac:dyDescent="0.3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</row>
    <row r="308" spans="1:30" ht="15.75" customHeight="1" x14ac:dyDescent="0.3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</row>
    <row r="309" spans="1:30" ht="15.75" customHeight="1" x14ac:dyDescent="0.3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</row>
    <row r="310" spans="1:30" ht="15.75" customHeight="1" x14ac:dyDescent="0.3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</row>
    <row r="311" spans="1:30" ht="15.75" customHeight="1" x14ac:dyDescent="0.3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</row>
    <row r="312" spans="1:30" ht="15.75" customHeight="1" x14ac:dyDescent="0.3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</row>
    <row r="313" spans="1:30" ht="15.75" customHeight="1" x14ac:dyDescent="0.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</row>
    <row r="314" spans="1:30" ht="15.75" customHeight="1" x14ac:dyDescent="0.3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</row>
    <row r="315" spans="1:30" ht="15.75" customHeight="1" x14ac:dyDescent="0.3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 spans="1:30" ht="15.75" customHeight="1" x14ac:dyDescent="0.3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 spans="1:30" ht="15.75" customHeight="1" x14ac:dyDescent="0.3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spans="1:30" ht="15.75" customHeight="1" x14ac:dyDescent="0.3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spans="1:30" ht="15.75" customHeight="1" x14ac:dyDescent="0.3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spans="1:30" ht="15.75" customHeight="1" x14ac:dyDescent="0.3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spans="1:30" ht="15.75" customHeight="1" x14ac:dyDescent="0.3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spans="1:30" ht="15.75" customHeight="1" x14ac:dyDescent="0.3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spans="1:30" ht="15.75" customHeight="1" x14ac:dyDescent="0.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spans="1:30" ht="15.75" customHeight="1" x14ac:dyDescent="0.3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spans="1:30" ht="15.75" customHeight="1" x14ac:dyDescent="0.3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spans="1:30" ht="15.75" customHeight="1" x14ac:dyDescent="0.3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spans="1:30" ht="15.75" customHeight="1" x14ac:dyDescent="0.3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spans="1:30" ht="15.75" customHeight="1" x14ac:dyDescent="0.3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spans="1:30" ht="15.75" customHeight="1" x14ac:dyDescent="0.3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spans="1:30" ht="15.75" customHeight="1" x14ac:dyDescent="0.3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spans="1:30" ht="15.75" customHeight="1" x14ac:dyDescent="0.3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spans="1:30" ht="15.75" customHeight="1" x14ac:dyDescent="0.3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spans="1:30" ht="15.75" customHeight="1" x14ac:dyDescent="0.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spans="1:30" ht="15.75" customHeight="1" x14ac:dyDescent="0.3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spans="1:30" ht="15.75" customHeight="1" x14ac:dyDescent="0.3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spans="1:30" ht="15.75" customHeight="1" x14ac:dyDescent="0.3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autoFilter ref="A1:L136" xr:uid="{00000000-0009-0000-0000-000000000000}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Khanh Linh Le Vu</cp:lastModifiedBy>
  <dcterms:modified xsi:type="dcterms:W3CDTF">2026-01-21T02:13:39Z</dcterms:modified>
</cp:coreProperties>
</file>